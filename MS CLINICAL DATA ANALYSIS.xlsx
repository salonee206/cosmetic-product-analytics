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35" windowWidth="20115" windowHeight="8010" activeTab="4"/>
  </bookViews>
  <sheets>
    <sheet name="project details " sheetId="1" r:id="rId1"/>
    <sheet name="Spectrometer left " sheetId="6" r:id="rId2"/>
    <sheet name="Spectrometer right " sheetId="2" r:id="rId3"/>
    <sheet name="Spectrometer average " sheetId="7" r:id="rId4"/>
    <sheet name="Corneometer " sheetId="3" r:id="rId5"/>
    <sheet name="Outputs" sheetId="4" r:id="rId6"/>
    <sheet name="RESULT (CONCLUSION)" sheetId="5" r:id="rId7"/>
  </sheets>
  <calcPr calcId="144525"/>
</workbook>
</file>

<file path=xl/calcChain.xml><?xml version="1.0" encoding="utf-8"?>
<calcChain xmlns="http://schemas.openxmlformats.org/spreadsheetml/2006/main">
  <c r="I39" i="6" l="1"/>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I40" i="6" s="1"/>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I40" i="2" s="1"/>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40" i="7" s="1"/>
  <c r="I2" i="7"/>
  <c r="I40" i="3"/>
  <c r="I20" i="3"/>
  <c r="I21" i="3"/>
  <c r="I22" i="3"/>
  <c r="I23" i="3"/>
  <c r="I24" i="3"/>
  <c r="I25" i="3"/>
  <c r="I26" i="3"/>
  <c r="I27" i="3"/>
  <c r="I28" i="3"/>
  <c r="I29" i="3"/>
  <c r="I30" i="3"/>
  <c r="I31" i="3"/>
  <c r="I32" i="3"/>
  <c r="I33" i="3"/>
  <c r="I34" i="3"/>
  <c r="I35" i="3"/>
  <c r="I36" i="3"/>
  <c r="I37" i="3"/>
  <c r="I38" i="3"/>
  <c r="I39" i="3"/>
  <c r="I6" i="3"/>
  <c r="I7" i="3"/>
  <c r="I8" i="3"/>
  <c r="I9" i="3"/>
  <c r="I10" i="3"/>
  <c r="I11" i="3"/>
  <c r="I12" i="3"/>
  <c r="I13" i="3"/>
  <c r="I14" i="3"/>
  <c r="I15" i="3"/>
  <c r="I16" i="3"/>
  <c r="I17" i="3"/>
  <c r="I18" i="3"/>
  <c r="I19" i="3"/>
  <c r="I3" i="3"/>
  <c r="I4" i="3"/>
  <c r="I5" i="3"/>
  <c r="I2" i="3"/>
  <c r="H39" i="7"/>
  <c r="G39" i="7"/>
  <c r="F39" i="7"/>
  <c r="H38" i="7"/>
  <c r="G38" i="7"/>
  <c r="F38" i="7"/>
  <c r="H37" i="7"/>
  <c r="G37" i="7"/>
  <c r="F37" i="7"/>
  <c r="H36" i="7"/>
  <c r="G36" i="7"/>
  <c r="F36" i="7"/>
  <c r="H35" i="7"/>
  <c r="G35" i="7"/>
  <c r="F35" i="7"/>
  <c r="H34" i="7"/>
  <c r="G34" i="7"/>
  <c r="F34" i="7"/>
  <c r="H33" i="7"/>
  <c r="G33" i="7"/>
  <c r="F33" i="7"/>
  <c r="H32" i="7"/>
  <c r="G32" i="7"/>
  <c r="F32" i="7"/>
  <c r="H31" i="7"/>
  <c r="G31" i="7"/>
  <c r="F31" i="7"/>
  <c r="H30" i="7"/>
  <c r="G30" i="7"/>
  <c r="F30" i="7"/>
  <c r="H29" i="7"/>
  <c r="G29" i="7"/>
  <c r="F29" i="7"/>
  <c r="H28" i="7"/>
  <c r="G28" i="7"/>
  <c r="F28" i="7"/>
  <c r="H27" i="7"/>
  <c r="G27" i="7"/>
  <c r="F27" i="7"/>
  <c r="H26" i="7"/>
  <c r="G26" i="7"/>
  <c r="F26" i="7"/>
  <c r="H25" i="7"/>
  <c r="G25" i="7"/>
  <c r="F25" i="7"/>
  <c r="H24" i="7"/>
  <c r="G24" i="7"/>
  <c r="F24" i="7"/>
  <c r="H23" i="7"/>
  <c r="G23" i="7"/>
  <c r="F23" i="7"/>
  <c r="H22" i="7"/>
  <c r="G22" i="7"/>
  <c r="F22" i="7"/>
  <c r="H21" i="7"/>
  <c r="G21" i="7"/>
  <c r="F21" i="7"/>
  <c r="H20" i="7"/>
  <c r="G20" i="7"/>
  <c r="F20" i="7"/>
  <c r="H19" i="7"/>
  <c r="G19" i="7"/>
  <c r="F19" i="7"/>
  <c r="H18" i="7"/>
  <c r="G18" i="7"/>
  <c r="F18" i="7"/>
  <c r="H17" i="7"/>
  <c r="G17" i="7"/>
  <c r="F17" i="7"/>
  <c r="H16" i="7"/>
  <c r="G16" i="7"/>
  <c r="F16" i="7"/>
  <c r="H15" i="7"/>
  <c r="G15" i="7"/>
  <c r="F15" i="7"/>
  <c r="H14" i="7"/>
  <c r="G14" i="7"/>
  <c r="F14" i="7"/>
  <c r="H13" i="7"/>
  <c r="G13" i="7"/>
  <c r="F13" i="7"/>
  <c r="H12" i="7"/>
  <c r="G12" i="7"/>
  <c r="F12" i="7"/>
  <c r="H11" i="7"/>
  <c r="G11" i="7"/>
  <c r="F11" i="7"/>
  <c r="H10" i="7"/>
  <c r="G10" i="7"/>
  <c r="F10" i="7"/>
  <c r="H9" i="7"/>
  <c r="G9" i="7"/>
  <c r="F9" i="7"/>
  <c r="H8" i="7"/>
  <c r="G8" i="7"/>
  <c r="F8" i="7"/>
  <c r="H7" i="7"/>
  <c r="G7" i="7"/>
  <c r="F7" i="7"/>
  <c r="H6" i="7"/>
  <c r="G6" i="7"/>
  <c r="F6" i="7"/>
  <c r="H5" i="7"/>
  <c r="G5" i="7"/>
  <c r="F5" i="7"/>
  <c r="H4" i="7"/>
  <c r="G4" i="7"/>
  <c r="F4" i="7"/>
  <c r="H3" i="7"/>
  <c r="G3" i="7"/>
  <c r="F3" i="7"/>
  <c r="H2" i="7"/>
  <c r="H40" i="7" s="1"/>
  <c r="G2" i="7"/>
  <c r="F2" i="7"/>
  <c r="H40" i="3"/>
  <c r="G40" i="3"/>
  <c r="F40" i="3"/>
  <c r="G40" i="2"/>
  <c r="H40" i="2"/>
  <c r="F40" i="2"/>
  <c r="G40" i="6"/>
  <c r="H40" i="6"/>
  <c r="F40" i="6"/>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 r="F3" i="6"/>
  <c r="G3" i="6"/>
  <c r="H3" i="6"/>
  <c r="F4" i="6"/>
  <c r="G4" i="6"/>
  <c r="H4" i="6"/>
  <c r="F5" i="6"/>
  <c r="G5" i="6"/>
  <c r="H5" i="6"/>
  <c r="F6" i="6"/>
  <c r="G6" i="6"/>
  <c r="H6" i="6"/>
  <c r="F7" i="6"/>
  <c r="G7" i="6"/>
  <c r="H7" i="6"/>
  <c r="F8" i="6"/>
  <c r="G8" i="6"/>
  <c r="H8" i="6"/>
  <c r="F9" i="6"/>
  <c r="G9" i="6"/>
  <c r="H9" i="6"/>
  <c r="F10" i="6"/>
  <c r="G10" i="6"/>
  <c r="H10" i="6"/>
  <c r="F11" i="6"/>
  <c r="G11" i="6"/>
  <c r="H11" i="6"/>
  <c r="F12" i="6"/>
  <c r="G12" i="6"/>
  <c r="H12" i="6"/>
  <c r="F13" i="6"/>
  <c r="G13" i="6"/>
  <c r="H13" i="6"/>
  <c r="F14" i="6"/>
  <c r="G14" i="6"/>
  <c r="H14" i="6"/>
  <c r="F15" i="6"/>
  <c r="G15" i="6"/>
  <c r="H15" i="6"/>
  <c r="F16" i="6"/>
  <c r="G16" i="6"/>
  <c r="H16" i="6"/>
  <c r="F17" i="6"/>
  <c r="G17" i="6"/>
  <c r="H17" i="6"/>
  <c r="F18" i="6"/>
  <c r="G18" i="6"/>
  <c r="H18" i="6"/>
  <c r="F19" i="6"/>
  <c r="G19" i="6"/>
  <c r="H19" i="6"/>
  <c r="F20" i="6"/>
  <c r="G20" i="6"/>
  <c r="H20" i="6"/>
  <c r="F21" i="6"/>
  <c r="G21" i="6"/>
  <c r="H21" i="6"/>
  <c r="F22" i="6"/>
  <c r="G22" i="6"/>
  <c r="H22" i="6"/>
  <c r="F23" i="6"/>
  <c r="G23" i="6"/>
  <c r="H23" i="6"/>
  <c r="F24" i="6"/>
  <c r="G24" i="6"/>
  <c r="H24" i="6"/>
  <c r="F25" i="6"/>
  <c r="G25" i="6"/>
  <c r="H25" i="6"/>
  <c r="F26" i="6"/>
  <c r="G26" i="6"/>
  <c r="H26" i="6"/>
  <c r="F27" i="6"/>
  <c r="G27" i="6"/>
  <c r="H27" i="6"/>
  <c r="F28" i="6"/>
  <c r="G28" i="6"/>
  <c r="H28" i="6"/>
  <c r="F29" i="6"/>
  <c r="G29" i="6"/>
  <c r="H29" i="6"/>
  <c r="F30" i="6"/>
  <c r="G30" i="6"/>
  <c r="H30" i="6"/>
  <c r="F31" i="6"/>
  <c r="G31" i="6"/>
  <c r="H31" i="6"/>
  <c r="F32" i="6"/>
  <c r="G32" i="6"/>
  <c r="H32" i="6"/>
  <c r="F33" i="6"/>
  <c r="G33" i="6"/>
  <c r="H33" i="6"/>
  <c r="F34" i="6"/>
  <c r="G34" i="6"/>
  <c r="H34" i="6"/>
  <c r="F35" i="6"/>
  <c r="G35" i="6"/>
  <c r="H35" i="6"/>
  <c r="F36" i="6"/>
  <c r="G36" i="6"/>
  <c r="H36" i="6"/>
  <c r="F37" i="6"/>
  <c r="G37" i="6"/>
  <c r="H37" i="6"/>
  <c r="F38" i="6"/>
  <c r="G38" i="6"/>
  <c r="H38" i="6"/>
  <c r="F39" i="6"/>
  <c r="G39" i="6"/>
  <c r="H39" i="6"/>
  <c r="H2" i="6"/>
  <c r="G2" i="6"/>
  <c r="F2" i="6"/>
  <c r="F3" i="2"/>
  <c r="G3" i="2"/>
  <c r="H3" i="2"/>
  <c r="F4" i="2"/>
  <c r="G4" i="2"/>
  <c r="H4" i="2"/>
  <c r="F5" i="2"/>
  <c r="G5" i="2"/>
  <c r="H5" i="2"/>
  <c r="F6" i="2"/>
  <c r="G6" i="2"/>
  <c r="H6" i="2"/>
  <c r="F7" i="2"/>
  <c r="G7" i="2"/>
  <c r="H7" i="2"/>
  <c r="F8" i="2"/>
  <c r="G8" i="2"/>
  <c r="H8" i="2"/>
  <c r="F9" i="2"/>
  <c r="G9" i="2"/>
  <c r="H9" i="2"/>
  <c r="F10" i="2"/>
  <c r="G10" i="2"/>
  <c r="H10" i="2"/>
  <c r="F11" i="2"/>
  <c r="G11" i="2"/>
  <c r="H11" i="2"/>
  <c r="F12" i="2"/>
  <c r="G12" i="2"/>
  <c r="H12" i="2"/>
  <c r="F13" i="2"/>
  <c r="G13" i="2"/>
  <c r="H13" i="2"/>
  <c r="F14" i="2"/>
  <c r="G14" i="2"/>
  <c r="H14" i="2"/>
  <c r="F15" i="2"/>
  <c r="G15" i="2"/>
  <c r="H15" i="2"/>
  <c r="F16" i="2"/>
  <c r="G16" i="2"/>
  <c r="H16" i="2"/>
  <c r="F17" i="2"/>
  <c r="G17" i="2"/>
  <c r="H17" i="2"/>
  <c r="F18" i="2"/>
  <c r="G18" i="2"/>
  <c r="H18" i="2"/>
  <c r="F19" i="2"/>
  <c r="G19" i="2"/>
  <c r="H19" i="2"/>
  <c r="F20" i="2"/>
  <c r="G20" i="2"/>
  <c r="H20" i="2"/>
  <c r="F21" i="2"/>
  <c r="G21" i="2"/>
  <c r="H21" i="2"/>
  <c r="F22" i="2"/>
  <c r="G22" i="2"/>
  <c r="H22" i="2"/>
  <c r="F23" i="2"/>
  <c r="G23" i="2"/>
  <c r="H23" i="2"/>
  <c r="F24" i="2"/>
  <c r="G24" i="2"/>
  <c r="H24" i="2"/>
  <c r="F25" i="2"/>
  <c r="G25" i="2"/>
  <c r="H25" i="2"/>
  <c r="F26" i="2"/>
  <c r="G26" i="2"/>
  <c r="H26" i="2"/>
  <c r="F27" i="2"/>
  <c r="G27" i="2"/>
  <c r="H27" i="2"/>
  <c r="F28" i="2"/>
  <c r="G28" i="2"/>
  <c r="H28" i="2"/>
  <c r="F29" i="2"/>
  <c r="G29" i="2"/>
  <c r="H29" i="2"/>
  <c r="F30" i="2"/>
  <c r="G30" i="2"/>
  <c r="H30" i="2"/>
  <c r="F31" i="2"/>
  <c r="G31" i="2"/>
  <c r="H31" i="2"/>
  <c r="F32" i="2"/>
  <c r="G32" i="2"/>
  <c r="H32" i="2"/>
  <c r="F33" i="2"/>
  <c r="G33" i="2"/>
  <c r="H33" i="2"/>
  <c r="F34" i="2"/>
  <c r="G34" i="2"/>
  <c r="H34" i="2"/>
  <c r="F35" i="2"/>
  <c r="G35" i="2"/>
  <c r="H35" i="2"/>
  <c r="F36" i="2"/>
  <c r="G36" i="2"/>
  <c r="H36" i="2"/>
  <c r="F37" i="2"/>
  <c r="G37" i="2"/>
  <c r="H37" i="2"/>
  <c r="F38" i="2"/>
  <c r="G38" i="2"/>
  <c r="H38" i="2"/>
  <c r="F39" i="2"/>
  <c r="G39" i="2"/>
  <c r="H39" i="2"/>
  <c r="H2" i="2"/>
  <c r="G2" i="2"/>
  <c r="F2" i="2"/>
  <c r="F40" i="7" l="1"/>
  <c r="G40" i="7"/>
</calcChain>
</file>

<file path=xl/sharedStrings.xml><?xml version="1.0" encoding="utf-8"?>
<sst xmlns="http://schemas.openxmlformats.org/spreadsheetml/2006/main" count="332" uniqueCount="88">
  <si>
    <t>Project Details</t>
  </si>
  <si>
    <t>Study Objective</t>
  </si>
  <si>
    <t>The study was conducted to determine the efficacy of test product in providing skin brightness and hydration</t>
  </si>
  <si>
    <t>Total no. of visits</t>
  </si>
  <si>
    <r>
      <rPr>
        <b/>
        <sz val="11"/>
        <color theme="1"/>
        <rFont val="Calibri"/>
        <family val="2"/>
        <scheme val="minor"/>
      </rPr>
      <t xml:space="preserve">3 visits -  </t>
    </r>
    <r>
      <rPr>
        <sz val="11"/>
        <color theme="1"/>
        <rFont val="Calibri"/>
        <family val="2"/>
        <scheme val="minor"/>
      </rPr>
      <t xml:space="preserve">                                                                                                                                                                                                                         Visit 1-Baseline - no product application , visit 1 - Timm - after product application, visit 2 - after 7 days of product application and visit 3 - after 14 days of product application</t>
    </r>
  </si>
  <si>
    <t>Study Design</t>
  </si>
  <si>
    <t>The test product was applied after capturing the baseline data. About 15-20 minutes’ post application of the test product Timm data was captured. The subjects were asked to  apply the product regularly for 14 days. The subjects were asked to visit the site for capturing the data after 7 days (visit 2) and 14 days (visit 3)</t>
  </si>
  <si>
    <t>Indtrument</t>
  </si>
  <si>
    <r>
      <rPr>
        <b/>
        <sz val="11"/>
        <color theme="1"/>
        <rFont val="Calibri"/>
        <family val="2"/>
        <scheme val="minor"/>
      </rPr>
      <t>Spectrophotometer</t>
    </r>
    <r>
      <rPr>
        <sz val="11"/>
        <color theme="1"/>
        <rFont val="Calibri"/>
        <family val="2"/>
        <scheme val="minor"/>
      </rPr>
      <t xml:space="preserve"> -to determine improvement in Skin brightness (L*)- Increase in L* values indicates improvement in skin brigthness,                                                                                                                                                                                                       </t>
    </r>
    <r>
      <rPr>
        <b/>
        <sz val="11"/>
        <color theme="1"/>
        <rFont val="Calibri"/>
        <family val="2"/>
        <scheme val="minor"/>
      </rPr>
      <t xml:space="preserve">Corneometer </t>
    </r>
    <r>
      <rPr>
        <sz val="11"/>
        <color theme="1"/>
        <rFont val="Calibri"/>
        <family val="2"/>
        <scheme val="minor"/>
      </rPr>
      <t>- to determine improvement in skin hydration - Increase in corneometer values indicates improvement in skin hydration</t>
    </r>
  </si>
  <si>
    <t>End point(Result)</t>
  </si>
  <si>
    <t>Improvement in L* (Skin brightness) and skin hydration.</t>
  </si>
  <si>
    <t>Report( Output)</t>
  </si>
  <si>
    <t>Provide R Codes,tables, graphs and inference in "Result" worksheet to understand the impact of product</t>
  </si>
  <si>
    <t>Visit 1 - Baseline</t>
  </si>
  <si>
    <t>Visit 1 - Timm</t>
  </si>
  <si>
    <t>Visit 2</t>
  </si>
  <si>
    <t>Visit 3</t>
  </si>
  <si>
    <t>LV2</t>
  </si>
  <si>
    <t>LV1 TIMM</t>
  </si>
  <si>
    <t>LV3</t>
  </si>
  <si>
    <t>Lv1 BASE</t>
  </si>
  <si>
    <t>change Timm</t>
  </si>
  <si>
    <t>change v2</t>
  </si>
  <si>
    <t>change v3</t>
  </si>
  <si>
    <t>paired t test base vs timm</t>
  </si>
  <si>
    <t>t-Test: Paired Two Sample for Means</t>
  </si>
  <si>
    <t>Mean</t>
  </si>
  <si>
    <t>Variance</t>
  </si>
  <si>
    <t>Observations</t>
  </si>
  <si>
    <t>Pearson Correlation</t>
  </si>
  <si>
    <t>Hypothesized Mean Difference</t>
  </si>
  <si>
    <t>df</t>
  </si>
  <si>
    <t>t Stat</t>
  </si>
  <si>
    <t>P(T&lt;=t) one-tail</t>
  </si>
  <si>
    <t>t Critical one-tail</t>
  </si>
  <si>
    <t>P(T&lt;=t) two-tail</t>
  </si>
  <si>
    <t>t Critical two-tail</t>
  </si>
  <si>
    <t>paired t test base vs V2</t>
  </si>
  <si>
    <t>paired t test base vs V3</t>
  </si>
  <si>
    <t>change timm</t>
  </si>
  <si>
    <t xml:space="preserve">change V2 </t>
  </si>
  <si>
    <t>change V3</t>
  </si>
  <si>
    <t>mean</t>
  </si>
  <si>
    <t>CHANGE</t>
  </si>
  <si>
    <t>BASE</t>
  </si>
  <si>
    <t>TIMM</t>
  </si>
  <si>
    <t>V2</t>
  </si>
  <si>
    <t>V3</t>
  </si>
  <si>
    <t xml:space="preserve">Spectrometer </t>
  </si>
  <si>
    <t>visits</t>
  </si>
  <si>
    <t xml:space="preserve">Visits </t>
  </si>
  <si>
    <t>variance</t>
  </si>
  <si>
    <t>Corneometer</t>
  </si>
  <si>
    <t xml:space="preserve">Discriptive statistics </t>
  </si>
  <si>
    <t xml:space="preserve">Statistcal Tests Results </t>
  </si>
  <si>
    <t xml:space="preserve">Paired t test were applied on visits such as </t>
  </si>
  <si>
    <t xml:space="preserve">Baseline vs Visit 1 </t>
  </si>
  <si>
    <t>Baseline vs Visit 2</t>
  </si>
  <si>
    <t>Baseline vs Visit 3</t>
  </si>
  <si>
    <t xml:space="preserve">Tests </t>
  </si>
  <si>
    <t>Tests</t>
  </si>
  <si>
    <t xml:space="preserve">P value </t>
  </si>
  <si>
    <t>NOTE: Level of significance is 0.05</t>
  </si>
  <si>
    <t>P values for both each tests less than 0.05 which refers that  the product is showing significant difference in skin hydration and brightness in each visit .</t>
  </si>
  <si>
    <t xml:space="preserve">Graphs </t>
  </si>
  <si>
    <t>VISITS VS AVG skin brightness</t>
  </si>
  <si>
    <t>VISITS VS AVG hydration</t>
  </si>
  <si>
    <t>VISITS VS skin brightness improvement</t>
  </si>
  <si>
    <t>VISITS VS skin hydration improvement</t>
  </si>
  <si>
    <t xml:space="preserve">Improvement </t>
  </si>
  <si>
    <t>Improvement %</t>
  </si>
  <si>
    <t>Parameter</t>
  </si>
  <si>
    <t xml:space="preserve">Baseline to visit 3 </t>
  </si>
  <si>
    <t>skin hydration</t>
  </si>
  <si>
    <t>The improvement % shows that there is significant improvement in skin brightness and hydration</t>
  </si>
  <si>
    <t>Average</t>
  </si>
  <si>
    <r>
      <t xml:space="preserve">Paired t-test shows </t>
    </r>
    <r>
      <rPr>
        <b/>
        <sz val="11"/>
        <color theme="1"/>
        <rFont val="Calibri"/>
        <family val="2"/>
        <scheme val="minor"/>
      </rPr>
      <t>highly significant improvement</t>
    </r>
  </si>
  <si>
    <r>
      <t xml:space="preserve">Product demonstrates </t>
    </r>
    <r>
      <rPr>
        <b/>
        <sz val="11"/>
        <color theme="1"/>
        <rFont val="Calibri"/>
        <family val="2"/>
        <scheme val="minor"/>
      </rPr>
      <t>progressive and sustained efficacy</t>
    </r>
  </si>
  <si>
    <t>Skin brightness</t>
  </si>
  <si>
    <t>Average hydration increased consistently from day 1 to day  7 to day 14 .</t>
  </si>
  <si>
    <t>Average skin brightness increased consistently from day 1 to day  7 to day 14 .</t>
  </si>
  <si>
    <t>product is showing significant improvement in skin brightness and hydration.</t>
  </si>
  <si>
    <t>Graphical inference</t>
  </si>
  <si>
    <t>Column charts for both skin brightness and skin hydration shows  a upward trend which indicates that there is significant effect of product on brightness and hydration.</t>
  </si>
  <si>
    <t>Line charts for both skin brightness and skin hydration shows  a upward trend which indicates that there is continuous improvement in skin brightness and hydration.</t>
  </si>
  <si>
    <t>Conclusion</t>
  </si>
  <si>
    <r>
      <t xml:space="preserve">The test product shows a </t>
    </r>
    <r>
      <rPr>
        <b/>
        <sz val="15"/>
        <color theme="1"/>
        <rFont val="Calibri"/>
        <family val="2"/>
        <scheme val="minor"/>
      </rPr>
      <t>significant improvement in skin hydration and brightness over time</t>
    </r>
    <r>
      <rPr>
        <sz val="15"/>
        <color theme="1"/>
        <rFont val="Calibri"/>
        <family val="2"/>
        <scheme val="minor"/>
      </rPr>
      <t>, indicating good efficacy.</t>
    </r>
  </si>
  <si>
    <t>&lt;0.05</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</si>
</sst>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13"/>
      <color theme="1"/>
      <name val="Calibri"/>
      <family val="2"/>
      <scheme val="minor"/>
    </font>
    <font>
      <sz val="15"/>
      <color theme="1"/>
      <name val="Calibri"/>
      <family val="2"/>
      <scheme val="minor"/>
    </font>
    <font>
      <b/>
      <sz val="15"/>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6">
    <xf numFmtId="0" fontId="0" fillId="0" borderId="0" xfId="0"/>
    <xf numFmtId="0" fontId="1" fillId="0" borderId="1" xfId="0" applyFont="1" applyBorder="1" applyAlignment="1">
      <alignment horizontal="center"/>
    </xf>
    <xf numFmtId="0" fontId="1" fillId="0" borderId="1" xfId="0" applyFont="1" applyBorder="1" applyAlignment="1">
      <alignment vertical="center"/>
    </xf>
    <xf numFmtId="0" fontId="0" fillId="0" borderId="1" xfId="0" applyBorder="1"/>
    <xf numFmtId="0" fontId="0" fillId="0" borderId="1" xfId="0" applyBorder="1" applyAlignment="1">
      <alignment wrapText="1"/>
    </xf>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
    </xf>
    <xf numFmtId="2" fontId="0" fillId="0" borderId="0" xfId="0" applyNumberFormat="1" applyAlignment="1">
      <alignment horizontal="center"/>
    </xf>
    <xf numFmtId="2" fontId="0" fillId="0" borderId="0" xfId="0" applyNumberFormat="1"/>
    <xf numFmtId="10" fontId="0" fillId="0" borderId="0" xfId="0" applyNumberFormat="1"/>
    <xf numFmtId="10" fontId="0" fillId="0" borderId="0" xfId="0" applyNumberFormat="1" applyFill="1" applyBorder="1" applyAlignment="1"/>
    <xf numFmtId="10" fontId="0" fillId="0" borderId="2" xfId="0" applyNumberFormat="1" applyFill="1" applyBorder="1" applyAlignment="1"/>
    <xf numFmtId="10" fontId="2" fillId="0" borderId="3" xfId="0" applyNumberFormat="1" applyFont="1" applyFill="1" applyBorder="1" applyAlignment="1">
      <alignment horizontal="center"/>
    </xf>
    <xf numFmtId="0" fontId="0" fillId="0" borderId="0" xfId="0" applyAlignment="1">
      <alignment vertical="center"/>
    </xf>
    <xf numFmtId="0" fontId="1" fillId="0" borderId="0" xfId="0" applyFont="1" applyAlignment="1">
      <alignment horizontal="center" vertical="center"/>
    </xf>
    <xf numFmtId="2" fontId="0" fillId="0" borderId="0" xfId="0" applyNumberFormat="1" applyFill="1" applyBorder="1" applyAlignment="1">
      <alignment vertical="center"/>
    </xf>
    <xf numFmtId="2" fontId="0" fillId="0" borderId="0" xfId="0" applyNumberFormat="1" applyAlignment="1">
      <alignment vertical="center"/>
    </xf>
    <xf numFmtId="0" fontId="0" fillId="0" borderId="0" xfId="0" applyAlignment="1">
      <alignment horizontal="center" vertical="top"/>
    </xf>
    <xf numFmtId="2" fontId="0" fillId="0" borderId="0" xfId="0" applyNumberFormat="1" applyFill="1" applyBorder="1" applyAlignment="1">
      <alignment horizontal="center" vertical="top"/>
    </xf>
    <xf numFmtId="2" fontId="0" fillId="0" borderId="0" xfId="0" applyNumberFormat="1" applyAlignment="1">
      <alignment horizontal="center" vertical="top"/>
    </xf>
    <xf numFmtId="2" fontId="0" fillId="2" borderId="6" xfId="0" applyNumberFormat="1" applyFont="1" applyFill="1" applyBorder="1" applyAlignment="1">
      <alignment horizontal="center" vertical="top"/>
    </xf>
    <xf numFmtId="2" fontId="0" fillId="0" borderId="6" xfId="0" applyNumberFormat="1" applyFont="1" applyBorder="1" applyAlignment="1">
      <alignment horizontal="center" vertical="top"/>
    </xf>
    <xf numFmtId="0" fontId="1" fillId="0" borderId="0" xfId="0" applyFont="1" applyAlignment="1">
      <alignment horizontal="center" vertical="top"/>
    </xf>
    <xf numFmtId="0" fontId="1" fillId="2" borderId="4" xfId="0" applyFont="1" applyFill="1" applyBorder="1" applyAlignment="1">
      <alignment horizontal="center" vertical="top"/>
    </xf>
    <xf numFmtId="0" fontId="1" fillId="0" borderId="4" xfId="0" applyFont="1" applyBorder="1" applyAlignment="1">
      <alignment horizontal="center" vertical="top"/>
    </xf>
    <xf numFmtId="0" fontId="3" fillId="0" borderId="0" xfId="0" applyFont="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top" wrapText="1"/>
    </xf>
    <xf numFmtId="2" fontId="1" fillId="0" borderId="0" xfId="0" applyNumberFormat="1" applyFont="1" applyFill="1" applyBorder="1" applyAlignment="1">
      <alignment horizontal="center" vertical="top" wrapText="1"/>
    </xf>
    <xf numFmtId="10" fontId="0" fillId="0" borderId="0" xfId="0" applyNumberFormat="1" applyFill="1" applyBorder="1" applyAlignment="1">
      <alignment horizontal="center" vertical="top"/>
    </xf>
    <xf numFmtId="10" fontId="0" fillId="2" borderId="5" xfId="0" applyNumberFormat="1" applyFont="1" applyFill="1" applyBorder="1" applyAlignment="1">
      <alignment horizontal="center" vertical="top"/>
    </xf>
    <xf numFmtId="10" fontId="0" fillId="2" borderId="6" xfId="0" applyNumberFormat="1" applyFont="1" applyFill="1" applyBorder="1" applyAlignment="1">
      <alignment horizontal="center" vertical="top"/>
    </xf>
    <xf numFmtId="0" fontId="1" fillId="0" borderId="0" xfId="0" applyFont="1" applyAlignment="1">
      <alignment horizontal="center" vertical="top" wrapText="1"/>
    </xf>
    <xf numFmtId="0" fontId="4" fillId="0" borderId="0" xfId="0" applyFont="1" applyAlignment="1">
      <alignment horizontal="center" vertical="center"/>
    </xf>
    <xf numFmtId="0" fontId="4" fillId="0" borderId="0" xfId="0" applyFont="1" applyAlignment="1">
      <alignment horizontal="center" vertical="center" wrapText="1"/>
    </xf>
    <xf numFmtId="0" fontId="0" fillId="4" borderId="0" xfId="0" applyFont="1" applyFill="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wrapText="1"/>
    </xf>
    <xf numFmtId="0" fontId="0" fillId="0" borderId="0" xfId="0" applyAlignment="1">
      <alignment horizontal="left" vertical="center" indent="1"/>
    </xf>
    <xf numFmtId="0" fontId="4" fillId="0" borderId="0" xfId="0" applyFont="1" applyAlignment="1">
      <alignment vertical="center"/>
    </xf>
    <xf numFmtId="0" fontId="5" fillId="3" borderId="0" xfId="0" applyFont="1" applyFill="1" applyAlignment="1">
      <alignment horizontal="center"/>
    </xf>
    <xf numFmtId="0" fontId="1" fillId="0" borderId="0" xfId="0" applyFont="1"/>
    <xf numFmtId="10" fontId="1" fillId="0" borderId="0" xfId="0" applyNumberFormat="1" applyFont="1" applyAlignment="1">
      <alignment horizontal="center"/>
    </xf>
  </cellXfs>
  <cellStyles count="1">
    <cellStyle name="Normal" xfId="0" builtinId="0"/>
  </cellStyles>
  <dxfs count="35">
    <dxf>
      <numFmt numFmtId="2" formatCode="0.00"/>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
      <font>
        <b/>
      </font>
      <alignment horizontal="center" vertical="top" textRotation="0" wrapText="0" indent="0" justifyLastLine="0" shrinkToFit="0" readingOrder="0"/>
    </dxf>
    <dxf>
      <alignment horizontal="center" vertical="top" textRotation="0" wrapText="0" indent="0" justifyLastLine="0" shrinkToFit="0" readingOrder="0"/>
    </dxf>
    <dxf>
      <font>
        <b/>
      </font>
      <alignment horizontal="center" vertical="top" textRotation="0" wrapText="0" indent="0" justifyLastLine="0" shrinkToFit="0" readingOrder="0"/>
    </dxf>
    <dxf>
      <numFmt numFmtId="2" formatCode="0.00"/>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
      <font>
        <b/>
      </font>
      <alignment horizontal="center" vertical="top" textRotation="0" wrapText="0" indent="0" justifyLastLine="0" shrinkToFit="0" readingOrder="0"/>
    </dxf>
    <dxf>
      <alignment horizontal="center" vertical="top" textRotation="0" wrapText="0" indent="0" justifyLastLine="0" shrinkToFit="0" readingOrder="0"/>
    </dxf>
    <dxf>
      <font>
        <b/>
      </font>
      <alignment horizontal="center" vertical="top" textRotation="0" wrapText="0" indent="0" justifyLastLine="0" shrinkToFit="0" readingOrder="0"/>
    </dxf>
    <dxf>
      <numFmt numFmtId="14" formatCode="0.00%"/>
      <fill>
        <patternFill patternType="none">
          <fgColor indexed="64"/>
          <bgColor indexed="65"/>
        </patternFill>
      </fill>
      <alignment horizontal="center" vertical="top" textRotation="0" wrapText="0" indent="0" justifyLastLine="0" shrinkToFit="0" readingOrder="0"/>
    </dxf>
    <dxf>
      <numFmt numFmtId="14" formatCode="0.00%"/>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numFmt numFmtId="2" formatCode="0.00"/>
      <alignment horizontal="center" vertical="top" textRotation="0" wrapText="0" indent="0" justifyLastLine="0" shrinkToFit="0" readingOrder="0"/>
    </dxf>
    <dxf>
      <font>
        <b/>
      </font>
      <alignment horizontal="center" vertical="top" textRotation="0" wrapText="0" indent="0" justifyLastLine="0" shrinkToFit="0" readingOrder="0"/>
    </dxf>
    <dxf>
      <alignment horizontal="center" vertical="top" textRotation="0" wrapText="0" indent="0" justifyLastLine="0" shrinkToFit="0" readingOrder="0"/>
    </dxf>
    <dxf>
      <font>
        <b/>
      </font>
      <alignment horizontal="center" vertical="top" textRotation="0" wrapText="0" indent="0" justifyLastLine="0" shrinkToFit="0" readingOrder="0"/>
    </dxf>
    <dxf>
      <numFmt numFmtId="2" formatCode="0.00"/>
      <alignment horizontal="center" vertical="top" textRotation="0" wrapText="0" indent="0" justifyLastLine="0" shrinkToFit="0" readingOrder="0"/>
    </dxf>
    <dxf>
      <font>
        <b/>
      </font>
      <alignment horizontal="center" vertical="top" textRotation="0" wrapText="0" indent="0" justifyLastLine="0" shrinkToFit="0" readingOrder="0"/>
    </dxf>
    <dxf>
      <alignment horizontal="center" vertical="top" textRotation="0" wrapText="0" indent="0" justifyLastLine="0" shrinkToFit="0" readingOrder="0"/>
    </dxf>
    <dxf>
      <font>
        <b/>
      </font>
      <alignment horizontal="center" vertical="top" textRotation="0" wrapText="0" indent="0" justifyLastLine="0" shrinkToFit="0" readingOrder="0"/>
    </dxf>
    <dxf>
      <font>
        <b/>
      </font>
      <alignment horizontal="center" vertical="top" textRotation="0" wrapText="0" indent="0" justifyLastLine="0" shrinkToFit="0" readingOrder="0"/>
    </dxf>
    <dxf>
      <font>
        <b/>
      </font>
      <alignment horizontal="center" vertical="top" textRotation="0" wrapText="0" indent="0" justifyLastLine="0" shrinkToFit="0" readingOrder="0"/>
    </dxf>
    <dxf>
      <font>
        <b/>
      </font>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
      <font>
        <b/>
      </font>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
      <alignment horizontal="center" vertical="top" textRotation="0" wrapText="0" indent="0" justifyLastLine="0" shrinkToFit="0" readingOrder="0"/>
    </dxf>
    <dxf>
      <numFmt numFmtId="2" formatCode="0.00"/>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
      <alignment horizontal="center" vertical="top" textRotation="0" wrapText="0" indent="0" justifyLastLine="0" shrinkToFit="0" readingOrder="0"/>
    </dxf>
    <dxf>
      <numFmt numFmtId="2" formatCode="0.00"/>
      <alignment horizontal="center" vertical="top" textRotation="0" wrapText="0" indent="0" justifyLastLine="0" shrinkToFit="0" readingOrder="0"/>
    </dxf>
    <dxf>
      <numFmt numFmtId="2" formatCode="0.00"/>
      <fill>
        <patternFill patternType="none">
          <fgColor indexed="64"/>
          <bgColor indexed="65"/>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a:pPr>
            <a:r>
              <a:rPr lang="en-US" sz="1800" b="1" i="0" u="none" strike="noStrike" baseline="0">
                <a:effectLst/>
              </a:rPr>
              <a:t>VISITS VS AVG skin brightness</a:t>
            </a:r>
            <a:r>
              <a:rPr lang="en-US" sz="1800" b="1" i="0" u="none" strike="noStrike" baseline="0"/>
              <a:t> </a:t>
            </a:r>
            <a:endParaRPr lang="en-US"/>
          </a:p>
        </c:rich>
      </c:tx>
      <c:layout/>
      <c:overlay val="0"/>
    </c:title>
    <c:autoTitleDeleted val="0"/>
    <c:plotArea>
      <c:layout/>
      <c:barChart>
        <c:barDir val="col"/>
        <c:grouping val="clustered"/>
        <c:varyColors val="0"/>
        <c:ser>
          <c:idx val="0"/>
          <c:order val="0"/>
          <c:tx>
            <c:strRef>
              <c:f>Outputs!$B$4</c:f>
              <c:strCache>
                <c:ptCount val="1"/>
                <c:pt idx="0">
                  <c:v>mean</c:v>
                </c:pt>
              </c:strCache>
            </c:strRef>
          </c:tx>
          <c:invertIfNegative val="0"/>
          <c:cat>
            <c:strRef>
              <c:f>Outputs!$A$5:$A$8</c:f>
              <c:strCache>
                <c:ptCount val="4"/>
                <c:pt idx="0">
                  <c:v>BASE</c:v>
                </c:pt>
                <c:pt idx="1">
                  <c:v>TIMM</c:v>
                </c:pt>
                <c:pt idx="2">
                  <c:v>V2</c:v>
                </c:pt>
                <c:pt idx="3">
                  <c:v>V3</c:v>
                </c:pt>
              </c:strCache>
            </c:strRef>
          </c:cat>
          <c:val>
            <c:numRef>
              <c:f>Outputs!$B$5:$B$8</c:f>
              <c:numCache>
                <c:formatCode>0.00</c:formatCode>
                <c:ptCount val="4"/>
                <c:pt idx="0">
                  <c:v>52.880263157894738</c:v>
                </c:pt>
                <c:pt idx="1">
                  <c:v>53.899868421052624</c:v>
                </c:pt>
                <c:pt idx="2">
                  <c:v>54.366973684210528</c:v>
                </c:pt>
                <c:pt idx="3">
                  <c:v>55.352763157894742</c:v>
                </c:pt>
              </c:numCache>
            </c:numRef>
          </c:val>
        </c:ser>
        <c:dLbls>
          <c:showLegendKey val="0"/>
          <c:showVal val="0"/>
          <c:showCatName val="0"/>
          <c:showSerName val="0"/>
          <c:showPercent val="0"/>
          <c:showBubbleSize val="0"/>
        </c:dLbls>
        <c:gapWidth val="150"/>
        <c:axId val="165754368"/>
        <c:axId val="165755904"/>
      </c:barChart>
      <c:catAx>
        <c:axId val="165754368"/>
        <c:scaling>
          <c:orientation val="minMax"/>
        </c:scaling>
        <c:delete val="0"/>
        <c:axPos val="b"/>
        <c:majorTickMark val="out"/>
        <c:minorTickMark val="none"/>
        <c:tickLblPos val="nextTo"/>
        <c:crossAx val="165755904"/>
        <c:crosses val="autoZero"/>
        <c:auto val="1"/>
        <c:lblAlgn val="ctr"/>
        <c:lblOffset val="100"/>
        <c:noMultiLvlLbl val="0"/>
      </c:catAx>
      <c:valAx>
        <c:axId val="165755904"/>
        <c:scaling>
          <c:orientation val="minMax"/>
        </c:scaling>
        <c:delete val="0"/>
        <c:axPos val="l"/>
        <c:majorGridlines/>
        <c:numFmt formatCode="0.00" sourceLinked="1"/>
        <c:majorTickMark val="out"/>
        <c:minorTickMark val="none"/>
        <c:tickLblPos val="nextTo"/>
        <c:crossAx val="1657543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effectLst/>
              </a:rPr>
              <a:t>VISITS VS AVG hydration</a:t>
            </a:r>
            <a:r>
              <a:rPr lang="en-US" sz="1800" b="1" i="0" u="none" strike="noStrike" baseline="0"/>
              <a:t> </a:t>
            </a:r>
            <a:endParaRPr lang="en-US"/>
          </a:p>
        </c:rich>
      </c:tx>
      <c:layout/>
      <c:overlay val="0"/>
    </c:title>
    <c:autoTitleDeleted val="0"/>
    <c:plotArea>
      <c:layout/>
      <c:barChart>
        <c:barDir val="col"/>
        <c:grouping val="clustered"/>
        <c:varyColors val="0"/>
        <c:ser>
          <c:idx val="0"/>
          <c:order val="0"/>
          <c:tx>
            <c:strRef>
              <c:f>Outputs!$G$4</c:f>
              <c:strCache>
                <c:ptCount val="1"/>
                <c:pt idx="0">
                  <c:v>mean</c:v>
                </c:pt>
              </c:strCache>
            </c:strRef>
          </c:tx>
          <c:invertIfNegative val="0"/>
          <c:cat>
            <c:strRef>
              <c:f>Outputs!$F$5:$F$8</c:f>
              <c:strCache>
                <c:ptCount val="4"/>
                <c:pt idx="0">
                  <c:v>BASE</c:v>
                </c:pt>
                <c:pt idx="1">
                  <c:v>TIMM</c:v>
                </c:pt>
                <c:pt idx="2">
                  <c:v>V2</c:v>
                </c:pt>
                <c:pt idx="3">
                  <c:v>V3</c:v>
                </c:pt>
              </c:strCache>
            </c:strRef>
          </c:cat>
          <c:val>
            <c:numRef>
              <c:f>Outputs!$G$5:$G$8</c:f>
              <c:numCache>
                <c:formatCode>0.00</c:formatCode>
                <c:ptCount val="4"/>
                <c:pt idx="0">
                  <c:v>41.121315789473698</c:v>
                </c:pt>
                <c:pt idx="1">
                  <c:v>45.900438596491242</c:v>
                </c:pt>
                <c:pt idx="2">
                  <c:v>53.356359649122801</c:v>
                </c:pt>
                <c:pt idx="3">
                  <c:v>61.750877192982465</c:v>
                </c:pt>
              </c:numCache>
            </c:numRef>
          </c:val>
        </c:ser>
        <c:dLbls>
          <c:showLegendKey val="0"/>
          <c:showVal val="0"/>
          <c:showCatName val="0"/>
          <c:showSerName val="0"/>
          <c:showPercent val="0"/>
          <c:showBubbleSize val="0"/>
        </c:dLbls>
        <c:gapWidth val="150"/>
        <c:axId val="168471552"/>
        <c:axId val="178513792"/>
      </c:barChart>
      <c:catAx>
        <c:axId val="168471552"/>
        <c:scaling>
          <c:orientation val="minMax"/>
        </c:scaling>
        <c:delete val="0"/>
        <c:axPos val="b"/>
        <c:majorTickMark val="out"/>
        <c:minorTickMark val="none"/>
        <c:tickLblPos val="nextTo"/>
        <c:crossAx val="178513792"/>
        <c:crosses val="autoZero"/>
        <c:auto val="1"/>
        <c:lblAlgn val="ctr"/>
        <c:lblOffset val="100"/>
        <c:noMultiLvlLbl val="0"/>
      </c:catAx>
      <c:valAx>
        <c:axId val="178513792"/>
        <c:scaling>
          <c:orientation val="minMax"/>
        </c:scaling>
        <c:delete val="0"/>
        <c:axPos val="l"/>
        <c:majorGridlines/>
        <c:numFmt formatCode="0.00" sourceLinked="1"/>
        <c:majorTickMark val="out"/>
        <c:minorTickMark val="none"/>
        <c:tickLblPos val="nextTo"/>
        <c:crossAx val="1684715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a:pPr>
            <a:r>
              <a:rPr lang="en-US"/>
              <a:t>skin</a:t>
            </a:r>
            <a:r>
              <a:rPr lang="en-US" baseline="0"/>
              <a:t> brightness improvement</a:t>
            </a:r>
          </a:p>
          <a:p>
            <a:pPr>
              <a:defRPr/>
            </a:pPr>
            <a:endParaRPr lang="en-US"/>
          </a:p>
        </c:rich>
      </c:tx>
      <c:layout>
        <c:manualLayout>
          <c:xMode val="edge"/>
          <c:yMode val="edge"/>
          <c:x val="0.178826334208224"/>
          <c:y val="2.7777777777777776E-2"/>
        </c:manualLayout>
      </c:layout>
      <c:overlay val="0"/>
    </c:title>
    <c:autoTitleDeleted val="0"/>
    <c:plotArea>
      <c:layout/>
      <c:lineChart>
        <c:grouping val="standard"/>
        <c:varyColors val="0"/>
        <c:ser>
          <c:idx val="0"/>
          <c:order val="0"/>
          <c:tx>
            <c:strRef>
              <c:f>Outputs!$B$57</c:f>
              <c:strCache>
                <c:ptCount val="1"/>
                <c:pt idx="0">
                  <c:v>CHANGE</c:v>
                </c:pt>
              </c:strCache>
            </c:strRef>
          </c:tx>
          <c:cat>
            <c:strRef>
              <c:f>Outputs!$A$58:$A$61</c:f>
              <c:strCache>
                <c:ptCount val="4"/>
                <c:pt idx="0">
                  <c:v>BASE</c:v>
                </c:pt>
                <c:pt idx="1">
                  <c:v>TIMM</c:v>
                </c:pt>
                <c:pt idx="2">
                  <c:v>V2</c:v>
                </c:pt>
                <c:pt idx="3">
                  <c:v>V3</c:v>
                </c:pt>
              </c:strCache>
            </c:strRef>
          </c:cat>
          <c:val>
            <c:numRef>
              <c:f>Outputs!$B$58:$B$61</c:f>
              <c:numCache>
                <c:formatCode>0.00</c:formatCode>
                <c:ptCount val="4"/>
                <c:pt idx="0">
                  <c:v>0</c:v>
                </c:pt>
                <c:pt idx="1">
                  <c:v>1.0196052631578938</c:v>
                </c:pt>
                <c:pt idx="2">
                  <c:v>1.4867105263157894</c:v>
                </c:pt>
                <c:pt idx="3">
                  <c:v>2.4724999999999997</c:v>
                </c:pt>
              </c:numCache>
            </c:numRef>
          </c:val>
          <c:smooth val="0"/>
        </c:ser>
        <c:dLbls>
          <c:showLegendKey val="0"/>
          <c:showVal val="0"/>
          <c:showCatName val="0"/>
          <c:showSerName val="0"/>
          <c:showPercent val="0"/>
          <c:showBubbleSize val="0"/>
        </c:dLbls>
        <c:marker val="1"/>
        <c:smooth val="0"/>
        <c:axId val="256304256"/>
        <c:axId val="256305792"/>
      </c:lineChart>
      <c:catAx>
        <c:axId val="256304256"/>
        <c:scaling>
          <c:orientation val="minMax"/>
        </c:scaling>
        <c:delete val="0"/>
        <c:axPos val="b"/>
        <c:majorTickMark val="out"/>
        <c:minorTickMark val="none"/>
        <c:tickLblPos val="nextTo"/>
        <c:crossAx val="256305792"/>
        <c:crosses val="autoZero"/>
        <c:auto val="1"/>
        <c:lblAlgn val="ctr"/>
        <c:lblOffset val="100"/>
        <c:noMultiLvlLbl val="0"/>
      </c:catAx>
      <c:valAx>
        <c:axId val="256305792"/>
        <c:scaling>
          <c:orientation val="minMax"/>
        </c:scaling>
        <c:delete val="0"/>
        <c:axPos val="l"/>
        <c:majorGridlines/>
        <c:numFmt formatCode="0.00" sourceLinked="1"/>
        <c:majorTickMark val="out"/>
        <c:minorTickMark val="none"/>
        <c:tickLblPos val="nextTo"/>
        <c:crossAx val="2563042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b="1" i="0" baseline="0">
                <a:effectLst/>
              </a:rPr>
              <a:t>skin hydration improvement</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endParaRPr lang="en-US"/>
          </a:p>
        </c:rich>
      </c:tx>
      <c:layout/>
      <c:overlay val="0"/>
    </c:title>
    <c:autoTitleDeleted val="0"/>
    <c:plotArea>
      <c:layout/>
      <c:lineChart>
        <c:grouping val="standard"/>
        <c:varyColors val="0"/>
        <c:ser>
          <c:idx val="0"/>
          <c:order val="0"/>
          <c:tx>
            <c:strRef>
              <c:f>Outputs!$M$57</c:f>
              <c:strCache>
                <c:ptCount val="1"/>
                <c:pt idx="0">
                  <c:v>CHANGE</c:v>
                </c:pt>
              </c:strCache>
            </c:strRef>
          </c:tx>
          <c:cat>
            <c:strRef>
              <c:f>Outputs!$L$58:$L$61</c:f>
              <c:strCache>
                <c:ptCount val="4"/>
                <c:pt idx="0">
                  <c:v>BASE</c:v>
                </c:pt>
                <c:pt idx="1">
                  <c:v>TIMM</c:v>
                </c:pt>
                <c:pt idx="2">
                  <c:v>V2</c:v>
                </c:pt>
                <c:pt idx="3">
                  <c:v>V3</c:v>
                </c:pt>
              </c:strCache>
            </c:strRef>
          </c:cat>
          <c:val>
            <c:numRef>
              <c:f>Outputs!$M$58:$M$61</c:f>
              <c:numCache>
                <c:formatCode>0.00</c:formatCode>
                <c:ptCount val="4"/>
                <c:pt idx="0">
                  <c:v>0</c:v>
                </c:pt>
                <c:pt idx="1">
                  <c:v>4.7791228070175418</c:v>
                </c:pt>
                <c:pt idx="2">
                  <c:v>12.235043859649128</c:v>
                </c:pt>
                <c:pt idx="3">
                  <c:v>20.629561403508774</c:v>
                </c:pt>
              </c:numCache>
            </c:numRef>
          </c:val>
          <c:smooth val="0"/>
        </c:ser>
        <c:dLbls>
          <c:showLegendKey val="0"/>
          <c:showVal val="0"/>
          <c:showCatName val="0"/>
          <c:showSerName val="0"/>
          <c:showPercent val="0"/>
          <c:showBubbleSize val="0"/>
        </c:dLbls>
        <c:marker val="1"/>
        <c:smooth val="0"/>
        <c:axId val="256519168"/>
        <c:axId val="256779008"/>
      </c:lineChart>
      <c:catAx>
        <c:axId val="256519168"/>
        <c:scaling>
          <c:orientation val="minMax"/>
        </c:scaling>
        <c:delete val="0"/>
        <c:axPos val="b"/>
        <c:numFmt formatCode="General" sourceLinked="1"/>
        <c:majorTickMark val="out"/>
        <c:minorTickMark val="none"/>
        <c:tickLblPos val="nextTo"/>
        <c:crossAx val="256779008"/>
        <c:crosses val="autoZero"/>
        <c:auto val="1"/>
        <c:lblAlgn val="ctr"/>
        <c:lblOffset val="100"/>
        <c:noMultiLvlLbl val="0"/>
      </c:catAx>
      <c:valAx>
        <c:axId val="256779008"/>
        <c:scaling>
          <c:orientation val="minMax"/>
        </c:scaling>
        <c:delete val="0"/>
        <c:axPos val="l"/>
        <c:majorGridlines/>
        <c:numFmt formatCode="0.00" sourceLinked="1"/>
        <c:majorTickMark val="out"/>
        <c:minorTickMark val="none"/>
        <c:tickLblPos val="nextTo"/>
        <c:crossAx val="2565191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209550</xdr:colOff>
      <xdr:row>37</xdr:row>
      <xdr:rowOff>57150</xdr:rowOff>
    </xdr:from>
    <xdr:to>
      <xdr:col>5</xdr:col>
      <xdr:colOff>638175</xdr:colOff>
      <xdr:row>51</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761999</xdr:colOff>
      <xdr:row>37</xdr:row>
      <xdr:rowOff>38100</xdr:rowOff>
    </xdr:from>
    <xdr:to>
      <xdr:col>15</xdr:col>
      <xdr:colOff>438149</xdr:colOff>
      <xdr:row>51</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62</xdr:row>
      <xdr:rowOff>85725</xdr:rowOff>
    </xdr:from>
    <xdr:to>
      <xdr:col>5</xdr:col>
      <xdr:colOff>533400</xdr:colOff>
      <xdr:row>76</xdr:row>
      <xdr:rowOff>161925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62</xdr:row>
      <xdr:rowOff>28575</xdr:rowOff>
    </xdr:from>
    <xdr:to>
      <xdr:col>15</xdr:col>
      <xdr:colOff>228600</xdr:colOff>
      <xdr:row>76</xdr:row>
      <xdr:rowOff>104775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3" name="Table3" displayName="Table3" ref="A4:D8" totalsRowShown="0" headerRowDxfId="24" dataDxfId="32">
  <autoFilter ref="A4:D8"/>
  <tableColumns count="4">
    <tableColumn id="1" name="Visits " dataDxfId="25"/>
    <tableColumn id="2" name="mean" dataDxfId="26"/>
    <tableColumn id="3" name="variance" dataDxfId="34"/>
    <tableColumn id="4" name="CHANGE" dataDxfId="33"/>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F4:I8" totalsRowShown="0" headerRowDxfId="23" dataDxfId="29">
  <autoFilter ref="F4:I8"/>
  <tableColumns count="4">
    <tableColumn id="1" name="visits" dataDxfId="27"/>
    <tableColumn id="2" name="mean" dataDxfId="28"/>
    <tableColumn id="3" name="variance" dataDxfId="31"/>
    <tableColumn id="4" name="CHANGE" dataDxfId="30"/>
  </tableColumns>
  <tableStyleInfo name="TableStyleMedium2" showFirstColumn="0" showLastColumn="0" showRowStripes="1" showColumnStripes="0"/>
</table>
</file>

<file path=xl/tables/table3.xml><?xml version="1.0" encoding="utf-8"?>
<table xmlns="http://schemas.openxmlformats.org/spreadsheetml/2006/main" id="7" name="Table38" displayName="Table38" ref="A57:B61" totalsRowShown="0" headerRowDxfId="22" dataDxfId="21">
  <autoFilter ref="A57:B61"/>
  <tableColumns count="2">
    <tableColumn id="1" name="Visits " dataDxfId="20"/>
    <tableColumn id="4" name="CHANGE" dataDxfId="19"/>
  </tableColumns>
  <tableStyleInfo name="TableStyleMedium2" showFirstColumn="0" showLastColumn="0" showRowStripes="1" showColumnStripes="0"/>
</table>
</file>

<file path=xl/tables/table4.xml><?xml version="1.0" encoding="utf-8"?>
<table xmlns="http://schemas.openxmlformats.org/spreadsheetml/2006/main" id="8" name="Table59" displayName="Table59" ref="L57:M61" totalsRowShown="0" headerRowDxfId="18" dataDxfId="17">
  <autoFilter ref="L57:M61"/>
  <tableColumns count="2">
    <tableColumn id="1" name="visits" dataDxfId="16"/>
    <tableColumn id="4" name="CHANGE" dataDxfId="15"/>
  </tableColumns>
  <tableStyleInfo name="TableStyleMedium2" showFirstColumn="0" showLastColumn="0" showRowStripes="1" showColumnStripes="0"/>
</table>
</file>

<file path=xl/tables/table5.xml><?xml version="1.0" encoding="utf-8"?>
<table xmlns="http://schemas.openxmlformats.org/spreadsheetml/2006/main" id="9" name="Table9" displayName="Table9" ref="A13:C14" totalsRowShown="0">
  <autoFilter ref="A13:C14"/>
  <tableColumns count="3">
    <tableColumn id="1" name="Parameter" dataDxfId="14"/>
    <tableColumn id="2" name="Skin brightness" dataDxfId="13"/>
    <tableColumn id="3" name="skin hydration" dataDxfId="12"/>
  </tableColumns>
  <tableStyleInfo name="TableStyleMedium2" showFirstColumn="0" showLastColumn="0" showRowStripes="1" showColumnStripes="0"/>
</table>
</file>

<file path=xl/tables/table6.xml><?xml version="1.0" encoding="utf-8"?>
<table xmlns="http://schemas.openxmlformats.org/spreadsheetml/2006/main" id="10" name="Table311" displayName="Table311" ref="A4:D8" totalsRowShown="0" headerRowDxfId="11" dataDxfId="10">
  <autoFilter ref="A4:D8"/>
  <tableColumns count="4">
    <tableColumn id="1" name="Visits " dataDxfId="9"/>
    <tableColumn id="2" name="mean" dataDxfId="8"/>
    <tableColumn id="3" name="variance" dataDxfId="7"/>
    <tableColumn id="4" name="CHANGE" dataDxfId="6"/>
  </tableColumns>
  <tableStyleInfo name="TableStyleMedium2" showFirstColumn="0" showLastColumn="0" showRowStripes="1" showColumnStripes="0"/>
</table>
</file>

<file path=xl/tables/table7.xml><?xml version="1.0" encoding="utf-8"?>
<table xmlns="http://schemas.openxmlformats.org/spreadsheetml/2006/main" id="11" name="Table512" displayName="Table512" ref="F4:I8" totalsRowShown="0" headerRowDxfId="5" dataDxfId="4">
  <autoFilter ref="F4:I8"/>
  <tableColumns count="4">
    <tableColumn id="1" name="visits" dataDxfId="3"/>
    <tableColumn id="2" name="mean" dataDxfId="2"/>
    <tableColumn id="3" name="variance" dataDxfId="1"/>
    <tableColumn id="4" name="CHAN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workbookViewId="0">
      <selection activeCell="C10" sqref="C10"/>
    </sheetView>
  </sheetViews>
  <sheetFormatPr defaultRowHeight="15" x14ac:dyDescent="0.25"/>
  <cols>
    <col min="2" max="2" width="17.42578125" customWidth="1"/>
    <col min="3" max="3" width="102.85546875" customWidth="1"/>
  </cols>
  <sheetData>
    <row r="2" spans="2:3" x14ac:dyDescent="0.25">
      <c r="B2" s="1" t="s">
        <v>0</v>
      </c>
      <c r="C2" s="1"/>
    </row>
    <row r="3" spans="2:3" x14ac:dyDescent="0.25">
      <c r="B3" s="2" t="s">
        <v>1</v>
      </c>
      <c r="C3" s="3" t="s">
        <v>2</v>
      </c>
    </row>
    <row r="4" spans="2:3" ht="45" x14ac:dyDescent="0.25">
      <c r="B4" s="2" t="s">
        <v>3</v>
      </c>
      <c r="C4" s="4" t="s">
        <v>4</v>
      </c>
    </row>
    <row r="5" spans="2:3" ht="45" x14ac:dyDescent="0.25">
      <c r="B5" s="2" t="s">
        <v>5</v>
      </c>
      <c r="C5" s="4" t="s">
        <v>6</v>
      </c>
    </row>
    <row r="6" spans="2:3" ht="60" x14ac:dyDescent="0.25">
      <c r="B6" s="2" t="s">
        <v>7</v>
      </c>
      <c r="C6" s="4" t="s">
        <v>8</v>
      </c>
    </row>
    <row r="7" spans="2:3" x14ac:dyDescent="0.25">
      <c r="B7" s="2" t="s">
        <v>9</v>
      </c>
      <c r="C7" s="3" t="s">
        <v>10</v>
      </c>
    </row>
    <row r="8" spans="2:3" x14ac:dyDescent="0.25">
      <c r="B8" s="2" t="s">
        <v>11</v>
      </c>
      <c r="C8" s="4" t="s">
        <v>12</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6"/>
  <sheetViews>
    <sheetView workbookViewId="0">
      <selection activeCell="F14" sqref="F14"/>
    </sheetView>
  </sheetViews>
  <sheetFormatPr defaultRowHeight="15" x14ac:dyDescent="0.25"/>
  <cols>
    <col min="1" max="1" width="11.42578125" customWidth="1"/>
    <col min="3" max="3" width="10.5703125" customWidth="1"/>
    <col min="6" max="6" width="17.7109375" customWidth="1"/>
    <col min="7" max="7" width="14" customWidth="1"/>
    <col min="8" max="8" width="13" customWidth="1"/>
    <col min="9" max="9" width="14" style="10" customWidth="1"/>
    <col min="11" max="11" width="17.85546875" customWidth="1"/>
    <col min="12" max="12" width="13.7109375" customWidth="1"/>
    <col min="17" max="17" width="13" customWidth="1"/>
    <col min="18" max="18" width="14" customWidth="1"/>
    <col min="21" max="21" width="16.140625" customWidth="1"/>
    <col min="22" max="22" width="13.7109375" customWidth="1"/>
  </cols>
  <sheetData>
    <row r="1" spans="1:23" s="44" customFormat="1" x14ac:dyDescent="0.25">
      <c r="B1" s="44" t="s">
        <v>20</v>
      </c>
      <c r="C1" s="44" t="s">
        <v>18</v>
      </c>
      <c r="D1" s="44" t="s">
        <v>17</v>
      </c>
      <c r="E1" s="44" t="s">
        <v>19</v>
      </c>
      <c r="F1" s="44" t="s">
        <v>21</v>
      </c>
      <c r="G1" s="44" t="s">
        <v>22</v>
      </c>
      <c r="H1" s="44" t="s">
        <v>23</v>
      </c>
      <c r="I1" s="45" t="s">
        <v>69</v>
      </c>
      <c r="K1" s="44" t="s">
        <v>24</v>
      </c>
      <c r="P1" s="44" t="s">
        <v>37</v>
      </c>
      <c r="U1" s="44" t="s">
        <v>38</v>
      </c>
    </row>
    <row r="2" spans="1:23" x14ac:dyDescent="0.25">
      <c r="A2">
        <v>1</v>
      </c>
      <c r="B2">
        <v>49.19</v>
      </c>
      <c r="C2">
        <v>51.45</v>
      </c>
      <c r="D2">
        <v>51.78</v>
      </c>
      <c r="E2">
        <v>51.55</v>
      </c>
      <c r="F2">
        <f>C2-B2</f>
        <v>2.2600000000000051</v>
      </c>
      <c r="G2">
        <f>D2-B2</f>
        <v>2.5900000000000034</v>
      </c>
      <c r="H2">
        <f>E2-B2</f>
        <v>2.3599999999999994</v>
      </c>
      <c r="I2" s="10">
        <f>H2/B2</f>
        <v>4.7977231144541561E-2</v>
      </c>
      <c r="K2" t="s">
        <v>25</v>
      </c>
      <c r="P2" t="s">
        <v>25</v>
      </c>
      <c r="U2" t="s">
        <v>25</v>
      </c>
    </row>
    <row r="3" spans="1:23" ht="15.75" thickBot="1" x14ac:dyDescent="0.3">
      <c r="A3">
        <v>2</v>
      </c>
      <c r="B3">
        <v>46.91</v>
      </c>
      <c r="C3">
        <v>48.83</v>
      </c>
      <c r="D3">
        <v>48.5</v>
      </c>
      <c r="E3">
        <v>51.94</v>
      </c>
      <c r="F3">
        <f>C3-B3</f>
        <v>1.9200000000000017</v>
      </c>
      <c r="G3">
        <f>D3-B3</f>
        <v>1.5900000000000034</v>
      </c>
      <c r="H3">
        <f>E3-B3</f>
        <v>5.0300000000000011</v>
      </c>
      <c r="I3" s="10">
        <f t="shared" ref="I3:I39" si="0">H3/B3</f>
        <v>0.1072266041355788</v>
      </c>
    </row>
    <row r="4" spans="1:23" x14ac:dyDescent="0.25">
      <c r="A4">
        <v>3</v>
      </c>
      <c r="B4">
        <v>52.06</v>
      </c>
      <c r="C4">
        <v>52.91</v>
      </c>
      <c r="D4">
        <v>53.71</v>
      </c>
      <c r="E4">
        <v>55</v>
      </c>
      <c r="F4">
        <f>C4-B4</f>
        <v>0.84999999999999432</v>
      </c>
      <c r="G4">
        <f>D4-B4</f>
        <v>1.6499999999999986</v>
      </c>
      <c r="H4">
        <f>E4-B4</f>
        <v>2.9399999999999977</v>
      </c>
      <c r="I4" s="10">
        <f t="shared" si="0"/>
        <v>5.6473300038417162E-2</v>
      </c>
      <c r="K4" s="7"/>
      <c r="L4" s="7" t="s">
        <v>20</v>
      </c>
      <c r="M4" s="7" t="s">
        <v>18</v>
      </c>
      <c r="P4" s="7"/>
      <c r="Q4" s="7" t="s">
        <v>20</v>
      </c>
      <c r="R4" s="7" t="s">
        <v>17</v>
      </c>
      <c r="U4" s="7"/>
      <c r="V4" s="7" t="s">
        <v>20</v>
      </c>
      <c r="W4" s="7" t="s">
        <v>19</v>
      </c>
    </row>
    <row r="5" spans="1:23" x14ac:dyDescent="0.25">
      <c r="A5">
        <v>4</v>
      </c>
      <c r="B5">
        <v>48.45</v>
      </c>
      <c r="C5">
        <v>48.51</v>
      </c>
      <c r="D5">
        <v>49.23</v>
      </c>
      <c r="E5">
        <v>51.39</v>
      </c>
      <c r="F5">
        <f>C5-B5</f>
        <v>5.9999999999995168E-2</v>
      </c>
      <c r="G5">
        <f>D5-B5</f>
        <v>0.77999999999999403</v>
      </c>
      <c r="H5">
        <f>E5-B5</f>
        <v>2.9399999999999977</v>
      </c>
      <c r="I5" s="10">
        <f t="shared" si="0"/>
        <v>6.0681114551083541E-2</v>
      </c>
      <c r="K5" s="5" t="s">
        <v>26</v>
      </c>
      <c r="L5" s="5">
        <v>52.829999999999991</v>
      </c>
      <c r="M5" s="5">
        <v>53.75026315789475</v>
      </c>
      <c r="P5" s="5" t="s">
        <v>26</v>
      </c>
      <c r="Q5" s="5">
        <v>52.829999999999991</v>
      </c>
      <c r="R5" s="5">
        <v>54.353684210526318</v>
      </c>
      <c r="U5" s="5" t="s">
        <v>26</v>
      </c>
      <c r="V5" s="5">
        <v>52.829999999999991</v>
      </c>
      <c r="W5" s="5">
        <v>55.334473684210515</v>
      </c>
    </row>
    <row r="6" spans="1:23" x14ac:dyDescent="0.25">
      <c r="A6">
        <v>5</v>
      </c>
      <c r="B6">
        <v>51.4</v>
      </c>
      <c r="C6">
        <v>51.5</v>
      </c>
      <c r="D6">
        <v>52.65</v>
      </c>
      <c r="E6">
        <v>52.05</v>
      </c>
      <c r="F6">
        <f>C6-B6</f>
        <v>0.10000000000000142</v>
      </c>
      <c r="G6">
        <f>D6-B6</f>
        <v>1.25</v>
      </c>
      <c r="H6">
        <f>E6-B6</f>
        <v>0.64999999999999858</v>
      </c>
      <c r="I6" s="10">
        <f t="shared" si="0"/>
        <v>1.2645914396887132E-2</v>
      </c>
      <c r="K6" s="5" t="s">
        <v>27</v>
      </c>
      <c r="L6" s="5">
        <v>28.941362162162172</v>
      </c>
      <c r="M6" s="5">
        <v>27.727213442389768</v>
      </c>
      <c r="P6" s="5" t="s">
        <v>27</v>
      </c>
      <c r="Q6" s="5">
        <v>28.941362162162172</v>
      </c>
      <c r="R6" s="5">
        <v>29.716737411095309</v>
      </c>
      <c r="U6" s="5" t="s">
        <v>27</v>
      </c>
      <c r="V6" s="5">
        <v>28.941362162162172</v>
      </c>
      <c r="W6" s="5">
        <v>28.244901066856325</v>
      </c>
    </row>
    <row r="7" spans="1:23" x14ac:dyDescent="0.25">
      <c r="A7">
        <v>6</v>
      </c>
      <c r="B7">
        <v>43.66</v>
      </c>
      <c r="C7">
        <v>44.07</v>
      </c>
      <c r="D7">
        <v>43.91</v>
      </c>
      <c r="E7">
        <v>44.61</v>
      </c>
      <c r="F7">
        <f>C7-B7</f>
        <v>0.41000000000000369</v>
      </c>
      <c r="G7">
        <f>D7-B7</f>
        <v>0.25</v>
      </c>
      <c r="H7">
        <f>E7-B7</f>
        <v>0.95000000000000284</v>
      </c>
      <c r="I7" s="10">
        <f t="shared" si="0"/>
        <v>2.1759047182776062E-2</v>
      </c>
      <c r="K7" s="5" t="s">
        <v>28</v>
      </c>
      <c r="L7" s="5">
        <v>38</v>
      </c>
      <c r="M7" s="5">
        <v>38</v>
      </c>
      <c r="P7" s="5" t="s">
        <v>28</v>
      </c>
      <c r="Q7" s="5">
        <v>38</v>
      </c>
      <c r="R7" s="5">
        <v>38</v>
      </c>
      <c r="U7" s="5" t="s">
        <v>28</v>
      </c>
      <c r="V7" s="5">
        <v>38</v>
      </c>
      <c r="W7" s="5">
        <v>38</v>
      </c>
    </row>
    <row r="8" spans="1:23" x14ac:dyDescent="0.25">
      <c r="A8">
        <v>7</v>
      </c>
      <c r="B8">
        <v>46.44</v>
      </c>
      <c r="C8">
        <v>46.55</v>
      </c>
      <c r="D8">
        <v>47.63</v>
      </c>
      <c r="E8">
        <v>49.42</v>
      </c>
      <c r="F8">
        <f>C8-B8</f>
        <v>0.10999999999999943</v>
      </c>
      <c r="G8">
        <f>D8-B8</f>
        <v>1.1900000000000048</v>
      </c>
      <c r="H8">
        <f>E8-B8</f>
        <v>2.980000000000004</v>
      </c>
      <c r="I8" s="10">
        <f t="shared" si="0"/>
        <v>6.4168819982773559E-2</v>
      </c>
      <c r="K8" s="5" t="s">
        <v>29</v>
      </c>
      <c r="L8" s="5">
        <v>0.98995314050165961</v>
      </c>
      <c r="M8" s="5"/>
      <c r="P8" s="5" t="s">
        <v>29</v>
      </c>
      <c r="Q8" s="5">
        <v>0.98512742737529591</v>
      </c>
      <c r="R8" s="5"/>
      <c r="U8" s="5" t="s">
        <v>29</v>
      </c>
      <c r="V8" s="5">
        <v>0.98195718337260673</v>
      </c>
      <c r="W8" s="5"/>
    </row>
    <row r="9" spans="1:23" x14ac:dyDescent="0.25">
      <c r="A9">
        <v>8</v>
      </c>
      <c r="B9">
        <v>55.04</v>
      </c>
      <c r="C9">
        <v>56.36</v>
      </c>
      <c r="D9">
        <v>57.45</v>
      </c>
      <c r="E9">
        <v>57.9</v>
      </c>
      <c r="F9">
        <f>C9-B9</f>
        <v>1.3200000000000003</v>
      </c>
      <c r="G9">
        <f>D9-B9</f>
        <v>2.4100000000000037</v>
      </c>
      <c r="H9">
        <f>E9-B9</f>
        <v>2.8599999999999994</v>
      </c>
      <c r="I9" s="10">
        <f t="shared" si="0"/>
        <v>5.196220930232557E-2</v>
      </c>
      <c r="K9" s="5" t="s">
        <v>30</v>
      </c>
      <c r="L9" s="5">
        <v>0</v>
      </c>
      <c r="M9" s="5"/>
      <c r="P9" s="5" t="s">
        <v>30</v>
      </c>
      <c r="Q9" s="5">
        <v>0</v>
      </c>
      <c r="R9" s="5"/>
      <c r="U9" s="5" t="s">
        <v>30</v>
      </c>
      <c r="V9" s="5">
        <v>0</v>
      </c>
      <c r="W9" s="5"/>
    </row>
    <row r="10" spans="1:23" x14ac:dyDescent="0.25">
      <c r="A10">
        <v>9</v>
      </c>
      <c r="B10">
        <v>49.56</v>
      </c>
      <c r="C10">
        <v>49.96</v>
      </c>
      <c r="D10">
        <v>51.61</v>
      </c>
      <c r="E10">
        <v>53.68</v>
      </c>
      <c r="F10">
        <f>C10-B10</f>
        <v>0.39999999999999858</v>
      </c>
      <c r="G10">
        <f>D10-B10</f>
        <v>2.0499999999999972</v>
      </c>
      <c r="H10">
        <f>E10-B10</f>
        <v>4.1199999999999974</v>
      </c>
      <c r="I10" s="10">
        <f t="shared" si="0"/>
        <v>8.3131557707828832E-2</v>
      </c>
      <c r="K10" s="5" t="s">
        <v>31</v>
      </c>
      <c r="L10" s="5">
        <v>37</v>
      </c>
      <c r="M10" s="5"/>
      <c r="P10" s="5" t="s">
        <v>31</v>
      </c>
      <c r="Q10" s="5">
        <v>37</v>
      </c>
      <c r="R10" s="5"/>
      <c r="U10" s="5" t="s">
        <v>31</v>
      </c>
      <c r="V10" s="5">
        <v>37</v>
      </c>
      <c r="W10" s="5"/>
    </row>
    <row r="11" spans="1:23" x14ac:dyDescent="0.25">
      <c r="A11">
        <v>10</v>
      </c>
      <c r="B11">
        <v>53.03</v>
      </c>
      <c r="C11">
        <v>53.03</v>
      </c>
      <c r="D11">
        <v>55.36</v>
      </c>
      <c r="E11">
        <v>54.12</v>
      </c>
      <c r="F11">
        <f>C11-B11</f>
        <v>0</v>
      </c>
      <c r="G11">
        <f>D11-B11</f>
        <v>2.3299999999999983</v>
      </c>
      <c r="H11">
        <f>E11-B11</f>
        <v>1.0899999999999963</v>
      </c>
      <c r="I11" s="10">
        <f t="shared" si="0"/>
        <v>2.0554403168018032E-2</v>
      </c>
      <c r="K11" s="5" t="s">
        <v>32</v>
      </c>
      <c r="L11" s="5">
        <v>-7.4346530069509207</v>
      </c>
      <c r="M11" s="5"/>
      <c r="P11" s="5" t="s">
        <v>32</v>
      </c>
      <c r="Q11" s="5">
        <v>-10.02713091484744</v>
      </c>
      <c r="R11" s="5"/>
      <c r="U11" s="5" t="s">
        <v>32</v>
      </c>
      <c r="V11" s="5">
        <v>-15.168251961981694</v>
      </c>
      <c r="W11" s="5"/>
    </row>
    <row r="12" spans="1:23" x14ac:dyDescent="0.25">
      <c r="A12">
        <v>11</v>
      </c>
      <c r="B12">
        <v>55.44</v>
      </c>
      <c r="C12">
        <v>55.57</v>
      </c>
      <c r="D12">
        <v>56.36</v>
      </c>
      <c r="E12">
        <v>56.99</v>
      </c>
      <c r="F12">
        <f>C12-B12</f>
        <v>0.13000000000000256</v>
      </c>
      <c r="G12">
        <f>D12-B12</f>
        <v>0.92000000000000171</v>
      </c>
      <c r="H12">
        <f>E12-B12</f>
        <v>1.5500000000000043</v>
      </c>
      <c r="I12" s="10">
        <f t="shared" si="0"/>
        <v>2.7958152958153036E-2</v>
      </c>
      <c r="K12" s="5" t="s">
        <v>33</v>
      </c>
      <c r="L12" s="5">
        <v>3.7647726222681732E-9</v>
      </c>
      <c r="M12" s="5"/>
      <c r="P12" s="5" t="s">
        <v>33</v>
      </c>
      <c r="Q12" s="5">
        <v>2.1306238841263575E-12</v>
      </c>
      <c r="R12" s="5"/>
      <c r="U12" s="5" t="s">
        <v>33</v>
      </c>
      <c r="V12" s="5">
        <v>9.1933563764467049E-18</v>
      </c>
      <c r="W12" s="5"/>
    </row>
    <row r="13" spans="1:23" x14ac:dyDescent="0.25">
      <c r="A13">
        <v>12</v>
      </c>
      <c r="B13">
        <v>58.95</v>
      </c>
      <c r="C13">
        <v>59.69</v>
      </c>
      <c r="D13">
        <v>59.7</v>
      </c>
      <c r="E13">
        <v>60.43</v>
      </c>
      <c r="F13">
        <f>C13-B13</f>
        <v>0.73999999999999488</v>
      </c>
      <c r="G13">
        <f>D13-B13</f>
        <v>0.75</v>
      </c>
      <c r="H13">
        <f>E13-B13</f>
        <v>1.4799999999999969</v>
      </c>
      <c r="I13" s="10">
        <f t="shared" si="0"/>
        <v>2.5106022052586885E-2</v>
      </c>
      <c r="K13" s="5" t="s">
        <v>34</v>
      </c>
      <c r="L13" s="5">
        <v>1.6870936195962629</v>
      </c>
      <c r="M13" s="5"/>
      <c r="P13" s="5" t="s">
        <v>34</v>
      </c>
      <c r="Q13" s="5">
        <v>1.6870936195962629</v>
      </c>
      <c r="R13" s="5"/>
      <c r="U13" s="5" t="s">
        <v>34</v>
      </c>
      <c r="V13" s="5">
        <v>1.6870936195962629</v>
      </c>
      <c r="W13" s="5"/>
    </row>
    <row r="14" spans="1:23" x14ac:dyDescent="0.25">
      <c r="A14">
        <v>13</v>
      </c>
      <c r="B14">
        <v>51.73</v>
      </c>
      <c r="C14">
        <v>52.65</v>
      </c>
      <c r="D14">
        <v>52.63</v>
      </c>
      <c r="E14">
        <v>54.68</v>
      </c>
      <c r="F14">
        <f>C14-B14</f>
        <v>0.92000000000000171</v>
      </c>
      <c r="G14">
        <f>D14-B14</f>
        <v>0.90000000000000568</v>
      </c>
      <c r="H14">
        <f>E14-B14</f>
        <v>2.9500000000000028</v>
      </c>
      <c r="I14" s="10">
        <f t="shared" si="0"/>
        <v>5.7026870288034083E-2</v>
      </c>
      <c r="K14" s="5" t="s">
        <v>35</v>
      </c>
      <c r="L14" s="5">
        <v>7.5295452445363464E-9</v>
      </c>
      <c r="M14" s="5"/>
      <c r="P14" s="5" t="s">
        <v>35</v>
      </c>
      <c r="Q14" s="5">
        <v>4.261247768252715E-12</v>
      </c>
      <c r="R14" s="5"/>
      <c r="U14" s="5" t="s">
        <v>35</v>
      </c>
      <c r="V14" s="5">
        <v>1.838671275289341E-17</v>
      </c>
      <c r="W14" s="5"/>
    </row>
    <row r="15" spans="1:23" ht="15.75" thickBot="1" x14ac:dyDescent="0.3">
      <c r="A15">
        <v>14</v>
      </c>
      <c r="B15">
        <v>59.72</v>
      </c>
      <c r="C15">
        <v>59.54</v>
      </c>
      <c r="D15">
        <v>62.24</v>
      </c>
      <c r="E15">
        <v>60.98</v>
      </c>
      <c r="F15">
        <f>C15-B15</f>
        <v>-0.17999999999999972</v>
      </c>
      <c r="G15">
        <f>D15-B15</f>
        <v>2.5200000000000031</v>
      </c>
      <c r="H15">
        <f>E15-B15</f>
        <v>1.259999999999998</v>
      </c>
      <c r="I15" s="10">
        <f t="shared" si="0"/>
        <v>2.1098459477561924E-2</v>
      </c>
      <c r="K15" s="6" t="s">
        <v>36</v>
      </c>
      <c r="L15" s="6">
        <v>2.026192463029111</v>
      </c>
      <c r="M15" s="6"/>
      <c r="P15" s="6" t="s">
        <v>36</v>
      </c>
      <c r="Q15" s="6">
        <v>2.026192463029111</v>
      </c>
      <c r="R15" s="6"/>
      <c r="U15" s="6" t="s">
        <v>36</v>
      </c>
      <c r="V15" s="6">
        <v>2.026192463029111</v>
      </c>
      <c r="W15" s="6"/>
    </row>
    <row r="16" spans="1:23" x14ac:dyDescent="0.25">
      <c r="A16">
        <v>15</v>
      </c>
      <c r="B16">
        <v>56.51</v>
      </c>
      <c r="C16">
        <v>57.38</v>
      </c>
      <c r="D16">
        <v>56.65</v>
      </c>
      <c r="E16">
        <v>57.84</v>
      </c>
      <c r="F16">
        <f>C16-B16</f>
        <v>0.87000000000000455</v>
      </c>
      <c r="G16">
        <f>D16-B16</f>
        <v>0.14000000000000057</v>
      </c>
      <c r="H16">
        <f>E16-B16</f>
        <v>1.3300000000000054</v>
      </c>
      <c r="I16" s="10">
        <f t="shared" si="0"/>
        <v>2.3535657405768986E-2</v>
      </c>
    </row>
    <row r="17" spans="1:9" x14ac:dyDescent="0.25">
      <c r="A17">
        <v>16</v>
      </c>
      <c r="B17">
        <v>49.85</v>
      </c>
      <c r="C17">
        <v>50.41</v>
      </c>
      <c r="D17">
        <v>50.7</v>
      </c>
      <c r="E17">
        <v>53.85</v>
      </c>
      <c r="F17">
        <f>C17-B17</f>
        <v>0.55999999999999517</v>
      </c>
      <c r="G17">
        <f>D17-B17</f>
        <v>0.85000000000000142</v>
      </c>
      <c r="H17">
        <f>E17-B17</f>
        <v>4</v>
      </c>
      <c r="I17" s="10">
        <f t="shared" si="0"/>
        <v>8.0240722166499495E-2</v>
      </c>
    </row>
    <row r="18" spans="1:9" x14ac:dyDescent="0.25">
      <c r="A18">
        <v>17</v>
      </c>
      <c r="B18">
        <v>50.29</v>
      </c>
      <c r="C18">
        <v>51.82</v>
      </c>
      <c r="D18">
        <v>53.04</v>
      </c>
      <c r="E18">
        <v>51.97</v>
      </c>
      <c r="F18">
        <f>C18-B18</f>
        <v>1.5300000000000011</v>
      </c>
      <c r="G18">
        <f>D18-B18</f>
        <v>2.75</v>
      </c>
      <c r="H18">
        <f>E18-B18</f>
        <v>1.6799999999999997</v>
      </c>
      <c r="I18" s="10">
        <f t="shared" si="0"/>
        <v>3.3406243786040957E-2</v>
      </c>
    </row>
    <row r="19" spans="1:9" x14ac:dyDescent="0.25">
      <c r="A19">
        <v>18</v>
      </c>
      <c r="B19">
        <v>53.05</v>
      </c>
      <c r="C19">
        <v>54.37</v>
      </c>
      <c r="D19">
        <v>54.97</v>
      </c>
      <c r="E19">
        <v>55.32</v>
      </c>
      <c r="F19">
        <f>C19-B19</f>
        <v>1.3200000000000003</v>
      </c>
      <c r="G19">
        <f>D19-B19</f>
        <v>1.9200000000000017</v>
      </c>
      <c r="H19">
        <f>E19-B19</f>
        <v>2.2700000000000031</v>
      </c>
      <c r="I19" s="10">
        <f t="shared" si="0"/>
        <v>4.278982092365699E-2</v>
      </c>
    </row>
    <row r="20" spans="1:9" x14ac:dyDescent="0.25">
      <c r="A20">
        <v>19</v>
      </c>
      <c r="B20">
        <v>50.86</v>
      </c>
      <c r="C20">
        <v>51.37</v>
      </c>
      <c r="D20">
        <v>52.72</v>
      </c>
      <c r="E20">
        <v>53.65</v>
      </c>
      <c r="F20">
        <f>C20-B20</f>
        <v>0.50999999999999801</v>
      </c>
      <c r="G20">
        <f>D20-B20</f>
        <v>1.8599999999999994</v>
      </c>
      <c r="H20">
        <f>E20-B20</f>
        <v>2.7899999999999991</v>
      </c>
      <c r="I20" s="10">
        <f t="shared" si="0"/>
        <v>5.4856468737711349E-2</v>
      </c>
    </row>
    <row r="21" spans="1:9" x14ac:dyDescent="0.25">
      <c r="A21">
        <v>20</v>
      </c>
      <c r="B21">
        <v>38.369999999999997</v>
      </c>
      <c r="C21">
        <v>39.65</v>
      </c>
      <c r="D21">
        <v>39.32</v>
      </c>
      <c r="E21">
        <v>41.33</v>
      </c>
      <c r="F21">
        <f>C21-B21</f>
        <v>1.2800000000000011</v>
      </c>
      <c r="G21">
        <f>D21-B21</f>
        <v>0.95000000000000284</v>
      </c>
      <c r="H21">
        <f>E21-B21</f>
        <v>2.9600000000000009</v>
      </c>
      <c r="I21" s="10">
        <f t="shared" si="0"/>
        <v>7.7143601772217907E-2</v>
      </c>
    </row>
    <row r="22" spans="1:9" x14ac:dyDescent="0.25">
      <c r="A22">
        <v>21</v>
      </c>
      <c r="B22">
        <v>57.07</v>
      </c>
      <c r="C22">
        <v>57.88</v>
      </c>
      <c r="D22">
        <v>59.27</v>
      </c>
      <c r="E22">
        <v>60.93</v>
      </c>
      <c r="F22">
        <f>C22-B22</f>
        <v>0.81000000000000227</v>
      </c>
      <c r="G22">
        <f>D22-B22</f>
        <v>2.2000000000000028</v>
      </c>
      <c r="H22">
        <f>E22-B22</f>
        <v>3.8599999999999994</v>
      </c>
      <c r="I22" s="10">
        <f t="shared" si="0"/>
        <v>6.7636236201156469E-2</v>
      </c>
    </row>
    <row r="23" spans="1:9" x14ac:dyDescent="0.25">
      <c r="A23">
        <v>22</v>
      </c>
      <c r="B23">
        <v>54.63</v>
      </c>
      <c r="C23">
        <v>54.71</v>
      </c>
      <c r="D23">
        <v>55.44</v>
      </c>
      <c r="E23">
        <v>57.47</v>
      </c>
      <c r="F23">
        <f>C23-B23</f>
        <v>7.9999999999998295E-2</v>
      </c>
      <c r="G23">
        <f>D23-B23</f>
        <v>0.80999999999999517</v>
      </c>
      <c r="H23">
        <f>E23-B23</f>
        <v>2.8399999999999963</v>
      </c>
      <c r="I23" s="10">
        <f t="shared" si="0"/>
        <v>5.1986088229910236E-2</v>
      </c>
    </row>
    <row r="24" spans="1:9" x14ac:dyDescent="0.25">
      <c r="A24">
        <v>23</v>
      </c>
      <c r="B24">
        <v>45.43</v>
      </c>
      <c r="C24">
        <v>48.28</v>
      </c>
      <c r="D24">
        <v>47.07</v>
      </c>
      <c r="E24">
        <v>47.95</v>
      </c>
      <c r="F24">
        <f>C24-B24</f>
        <v>2.8500000000000014</v>
      </c>
      <c r="G24">
        <f>D24-B24</f>
        <v>1.6400000000000006</v>
      </c>
      <c r="H24">
        <f>E24-B24</f>
        <v>2.5200000000000031</v>
      </c>
      <c r="I24" s="10">
        <f t="shared" si="0"/>
        <v>5.5469953775038591E-2</v>
      </c>
    </row>
    <row r="25" spans="1:9" x14ac:dyDescent="0.25">
      <c r="A25">
        <v>24</v>
      </c>
      <c r="B25">
        <v>58.06</v>
      </c>
      <c r="C25">
        <v>58.11</v>
      </c>
      <c r="D25">
        <v>58.07</v>
      </c>
      <c r="E25">
        <v>59.85</v>
      </c>
      <c r="F25">
        <f>C25-B25</f>
        <v>4.9999999999997158E-2</v>
      </c>
      <c r="G25">
        <f>D25-B25</f>
        <v>9.9999999999980105E-3</v>
      </c>
      <c r="H25">
        <f>E25-B25</f>
        <v>1.7899999999999991</v>
      </c>
      <c r="I25" s="10">
        <f t="shared" si="0"/>
        <v>3.0830175680330675E-2</v>
      </c>
    </row>
    <row r="26" spans="1:9" x14ac:dyDescent="0.25">
      <c r="A26">
        <v>25</v>
      </c>
      <c r="B26">
        <v>57.57</v>
      </c>
      <c r="C26">
        <v>58.82</v>
      </c>
      <c r="D26">
        <v>59.94</v>
      </c>
      <c r="E26">
        <v>60.75</v>
      </c>
      <c r="F26">
        <f>C26-B26</f>
        <v>1.25</v>
      </c>
      <c r="G26">
        <f>D26-B26</f>
        <v>2.3699999999999974</v>
      </c>
      <c r="H26">
        <f>E26-B26</f>
        <v>3.1799999999999997</v>
      </c>
      <c r="I26" s="10">
        <f t="shared" si="0"/>
        <v>5.5237102657634179E-2</v>
      </c>
    </row>
    <row r="27" spans="1:9" x14ac:dyDescent="0.25">
      <c r="A27">
        <v>26</v>
      </c>
      <c r="B27">
        <v>60.33</v>
      </c>
      <c r="C27">
        <v>62.76</v>
      </c>
      <c r="D27">
        <v>62.89</v>
      </c>
      <c r="E27">
        <v>64.05</v>
      </c>
      <c r="F27">
        <f>C27-B27</f>
        <v>2.4299999999999997</v>
      </c>
      <c r="G27">
        <f>D27-B27</f>
        <v>2.5600000000000023</v>
      </c>
      <c r="H27">
        <f>E27-B27</f>
        <v>3.7199999999999989</v>
      </c>
      <c r="I27" s="10">
        <f t="shared" si="0"/>
        <v>6.1660865241173528E-2</v>
      </c>
    </row>
    <row r="28" spans="1:9" x14ac:dyDescent="0.25">
      <c r="A28">
        <v>27</v>
      </c>
      <c r="B28">
        <v>60.05</v>
      </c>
      <c r="C28">
        <v>60.1</v>
      </c>
      <c r="D28">
        <v>61.18</v>
      </c>
      <c r="E28">
        <v>61.47</v>
      </c>
      <c r="F28">
        <f>C28-B28</f>
        <v>5.0000000000004263E-2</v>
      </c>
      <c r="G28">
        <f>D28-B28</f>
        <v>1.1300000000000026</v>
      </c>
      <c r="H28">
        <f>E28-B28</f>
        <v>1.4200000000000017</v>
      </c>
      <c r="I28" s="10">
        <f t="shared" si="0"/>
        <v>2.3646960865945074E-2</v>
      </c>
    </row>
    <row r="29" spans="1:9" x14ac:dyDescent="0.25">
      <c r="A29">
        <v>28</v>
      </c>
      <c r="B29">
        <v>59.25</v>
      </c>
      <c r="C29">
        <v>59.96</v>
      </c>
      <c r="D29">
        <v>59.37</v>
      </c>
      <c r="E29">
        <v>61.11</v>
      </c>
      <c r="F29">
        <f>C29-B29</f>
        <v>0.71000000000000085</v>
      </c>
      <c r="G29">
        <f>D29-B29</f>
        <v>0.11999999999999744</v>
      </c>
      <c r="H29">
        <f>E29-B29</f>
        <v>1.8599999999999994</v>
      </c>
      <c r="I29" s="10">
        <f t="shared" si="0"/>
        <v>3.1392405063291128E-2</v>
      </c>
    </row>
    <row r="30" spans="1:9" x14ac:dyDescent="0.25">
      <c r="A30">
        <v>29</v>
      </c>
      <c r="B30">
        <v>54.59</v>
      </c>
      <c r="C30">
        <v>55.63</v>
      </c>
      <c r="D30">
        <v>55.86</v>
      </c>
      <c r="E30">
        <v>57.55</v>
      </c>
      <c r="F30">
        <f>C30-B30</f>
        <v>1.0399999999999991</v>
      </c>
      <c r="G30">
        <f>D30-B30</f>
        <v>1.269999999999996</v>
      </c>
      <c r="H30">
        <f>E30-B30</f>
        <v>2.9599999999999937</v>
      </c>
      <c r="I30" s="10">
        <f t="shared" si="0"/>
        <v>5.4222385052207243E-2</v>
      </c>
    </row>
    <row r="31" spans="1:9" x14ac:dyDescent="0.25">
      <c r="A31">
        <v>30</v>
      </c>
      <c r="B31">
        <v>54.82</v>
      </c>
      <c r="C31">
        <v>56.6</v>
      </c>
      <c r="D31">
        <v>57.33</v>
      </c>
      <c r="E31">
        <v>58.33</v>
      </c>
      <c r="F31">
        <f>C31-B31</f>
        <v>1.7800000000000011</v>
      </c>
      <c r="G31">
        <f>D31-B31</f>
        <v>2.509999999999998</v>
      </c>
      <c r="H31">
        <f>E31-B31</f>
        <v>3.509999999999998</v>
      </c>
      <c r="I31" s="10">
        <f t="shared" si="0"/>
        <v>6.4027727106895263E-2</v>
      </c>
    </row>
    <row r="32" spans="1:9" x14ac:dyDescent="0.25">
      <c r="A32">
        <v>31</v>
      </c>
      <c r="B32">
        <v>62.09</v>
      </c>
      <c r="C32">
        <v>62.41</v>
      </c>
      <c r="D32">
        <v>62.53</v>
      </c>
      <c r="E32">
        <v>65.02</v>
      </c>
      <c r="F32">
        <f>C32-B32</f>
        <v>0.31999999999999318</v>
      </c>
      <c r="G32">
        <f>D32-B32</f>
        <v>0.43999999999999773</v>
      </c>
      <c r="H32">
        <f>E32-B32</f>
        <v>2.9299999999999926</v>
      </c>
      <c r="I32" s="10">
        <f t="shared" si="0"/>
        <v>4.7189563536801295E-2</v>
      </c>
    </row>
    <row r="33" spans="1:9" x14ac:dyDescent="0.25">
      <c r="A33">
        <v>33</v>
      </c>
      <c r="B33">
        <v>56.84</v>
      </c>
      <c r="C33">
        <v>58.13</v>
      </c>
      <c r="D33">
        <v>59.75</v>
      </c>
      <c r="E33">
        <v>60.41</v>
      </c>
      <c r="F33">
        <f>C33-B33</f>
        <v>1.2899999999999991</v>
      </c>
      <c r="G33">
        <f>D33-B33</f>
        <v>2.9099999999999966</v>
      </c>
      <c r="H33">
        <f>E33-B33</f>
        <v>3.5699999999999932</v>
      </c>
      <c r="I33" s="10">
        <f t="shared" si="0"/>
        <v>6.2807881773398896E-2</v>
      </c>
    </row>
    <row r="34" spans="1:9" x14ac:dyDescent="0.25">
      <c r="A34">
        <v>34</v>
      </c>
      <c r="B34">
        <v>51.4</v>
      </c>
      <c r="C34">
        <v>51.76</v>
      </c>
      <c r="D34">
        <v>51.96</v>
      </c>
      <c r="E34">
        <v>53.04</v>
      </c>
      <c r="F34">
        <f>C34-B34</f>
        <v>0.35999999999999943</v>
      </c>
      <c r="G34">
        <f>D34-B34</f>
        <v>0.56000000000000227</v>
      </c>
      <c r="H34">
        <f>E34-B34</f>
        <v>1.6400000000000006</v>
      </c>
      <c r="I34" s="10">
        <f t="shared" si="0"/>
        <v>3.1906614785992229E-2</v>
      </c>
    </row>
    <row r="35" spans="1:9" x14ac:dyDescent="0.25">
      <c r="A35">
        <v>36</v>
      </c>
      <c r="B35">
        <v>60.02</v>
      </c>
      <c r="C35">
        <v>60.92</v>
      </c>
      <c r="D35">
        <v>60.87</v>
      </c>
      <c r="E35">
        <v>61.04</v>
      </c>
      <c r="F35">
        <f>C35-B35</f>
        <v>0.89999999999999858</v>
      </c>
      <c r="G35">
        <f>D35-B35</f>
        <v>0.84999999999999432</v>
      </c>
      <c r="H35">
        <f>E35-B35</f>
        <v>1.019999999999996</v>
      </c>
      <c r="I35" s="10">
        <f t="shared" si="0"/>
        <v>1.6994335221592737E-2</v>
      </c>
    </row>
    <row r="36" spans="1:9" x14ac:dyDescent="0.25">
      <c r="A36">
        <v>37</v>
      </c>
      <c r="B36">
        <v>45.31</v>
      </c>
      <c r="C36">
        <v>46.39</v>
      </c>
      <c r="D36">
        <v>47</v>
      </c>
      <c r="E36">
        <v>47.29</v>
      </c>
      <c r="F36">
        <f>C36-B36</f>
        <v>1.0799999999999983</v>
      </c>
      <c r="G36">
        <f>D36-B36</f>
        <v>1.6899999999999977</v>
      </c>
      <c r="H36">
        <f>E36-B36</f>
        <v>1.9799999999999969</v>
      </c>
      <c r="I36" s="10">
        <f t="shared" si="0"/>
        <v>4.3698962701390349E-2</v>
      </c>
    </row>
    <row r="37" spans="1:9" x14ac:dyDescent="0.25">
      <c r="A37">
        <v>38</v>
      </c>
      <c r="B37">
        <v>48.54</v>
      </c>
      <c r="C37">
        <v>50.45</v>
      </c>
      <c r="D37">
        <v>49.88</v>
      </c>
      <c r="E37">
        <v>51.29</v>
      </c>
      <c r="F37">
        <f>C37-B37</f>
        <v>1.9100000000000037</v>
      </c>
      <c r="G37">
        <f>D37-B37</f>
        <v>1.3400000000000034</v>
      </c>
      <c r="H37">
        <f>E37-B37</f>
        <v>2.75</v>
      </c>
      <c r="I37" s="10">
        <f t="shared" si="0"/>
        <v>5.6654305727235274E-2</v>
      </c>
    </row>
    <row r="38" spans="1:9" x14ac:dyDescent="0.25">
      <c r="A38">
        <v>39</v>
      </c>
      <c r="B38">
        <v>51.42</v>
      </c>
      <c r="C38">
        <v>53.5</v>
      </c>
      <c r="D38">
        <v>55.71</v>
      </c>
      <c r="E38">
        <v>54.63</v>
      </c>
      <c r="F38">
        <f>C38-B38</f>
        <v>2.0799999999999983</v>
      </c>
      <c r="G38">
        <f>D38-B38</f>
        <v>4.2899999999999991</v>
      </c>
      <c r="H38">
        <f>E38-B38</f>
        <v>3.2100000000000009</v>
      </c>
      <c r="I38" s="10">
        <f t="shared" si="0"/>
        <v>6.2427071178529768E-2</v>
      </c>
    </row>
    <row r="39" spans="1:9" x14ac:dyDescent="0.25">
      <c r="A39">
        <v>40</v>
      </c>
      <c r="B39">
        <v>49.61</v>
      </c>
      <c r="C39">
        <v>50.48</v>
      </c>
      <c r="D39">
        <v>51.16</v>
      </c>
      <c r="E39">
        <v>51.83</v>
      </c>
      <c r="F39">
        <f>C39-B39</f>
        <v>0.86999999999999744</v>
      </c>
      <c r="G39">
        <f>D39-B39</f>
        <v>1.5499999999999972</v>
      </c>
      <c r="H39">
        <f>E39-B39</f>
        <v>2.2199999999999989</v>
      </c>
      <c r="I39" s="10">
        <f t="shared" si="0"/>
        <v>4.4749042531747607E-2</v>
      </c>
    </row>
    <row r="40" spans="1:9" x14ac:dyDescent="0.25">
      <c r="A40" t="s">
        <v>75</v>
      </c>
      <c r="F40">
        <f>AVERAGE(F2:F39)</f>
        <v>0.92026315789473667</v>
      </c>
      <c r="G40">
        <f t="shared" ref="G40:H40" si="1">AVERAGE(G2:G39)</f>
        <v>1.5236842105263158</v>
      </c>
      <c r="H40">
        <f t="shared" si="1"/>
        <v>2.504473684210526</v>
      </c>
      <c r="I40" s="10">
        <f>AVERAGE(I2:I39)</f>
        <v>4.8217892066019272E-2</v>
      </c>
    </row>
    <row r="41" spans="1:9" x14ac:dyDescent="0.25">
      <c r="I41" s="11"/>
    </row>
    <row r="42" spans="1:9" x14ac:dyDescent="0.25">
      <c r="I42" s="11"/>
    </row>
    <row r="43" spans="1:9" x14ac:dyDescent="0.25">
      <c r="I43" s="11"/>
    </row>
    <row r="44" spans="1:9" x14ac:dyDescent="0.25">
      <c r="I44" s="11"/>
    </row>
    <row r="45" spans="1:9" x14ac:dyDescent="0.25">
      <c r="I45" s="11"/>
    </row>
    <row r="46" spans="1:9" x14ac:dyDescent="0.25">
      <c r="I46" s="11"/>
    </row>
    <row r="47" spans="1:9" ht="15.75" thickBot="1" x14ac:dyDescent="0.3">
      <c r="I47" s="12"/>
    </row>
    <row r="50" spans="9:9" ht="15.75" thickBot="1" x14ac:dyDescent="0.3"/>
    <row r="51" spans="9:9" x14ac:dyDescent="0.25">
      <c r="I51" s="13"/>
    </row>
    <row r="52" spans="9:9" x14ac:dyDescent="0.25">
      <c r="I52" s="11"/>
    </row>
    <row r="53" spans="9:9" x14ac:dyDescent="0.25">
      <c r="I53" s="11"/>
    </row>
    <row r="54" spans="9:9" x14ac:dyDescent="0.25">
      <c r="I54" s="11"/>
    </row>
    <row r="55" spans="9:9" x14ac:dyDescent="0.25">
      <c r="I55" s="11"/>
    </row>
    <row r="56" spans="9:9" ht="15.75" thickBot="1" x14ac:dyDescent="0.3">
      <c r="I56"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6"/>
  <sheetViews>
    <sheetView workbookViewId="0">
      <selection activeCell="E8" sqref="E8"/>
    </sheetView>
  </sheetViews>
  <sheetFormatPr defaultRowHeight="15" x14ac:dyDescent="0.25"/>
  <cols>
    <col min="2" max="2" width="11.140625" customWidth="1"/>
    <col min="3" max="3" width="13.140625" customWidth="1"/>
    <col min="4" max="4" width="10.42578125" customWidth="1"/>
    <col min="5" max="5" width="11.85546875" customWidth="1"/>
    <col min="6" max="6" width="14.7109375" customWidth="1"/>
    <col min="7" max="7" width="11.7109375" customWidth="1"/>
    <col min="8" max="8" width="12.85546875" customWidth="1"/>
    <col min="9" max="9" width="14" style="10" customWidth="1"/>
    <col min="11" max="11" width="20.28515625" customWidth="1"/>
    <col min="12" max="12" width="15.7109375" customWidth="1"/>
    <col min="13" max="13" width="17.5703125" customWidth="1"/>
    <col min="16" max="16" width="19.28515625" customWidth="1"/>
    <col min="17" max="17" width="15.28515625" customWidth="1"/>
    <col min="18" max="18" width="18.140625" customWidth="1"/>
    <col min="21" max="21" width="11.5703125" customWidth="1"/>
    <col min="22" max="22" width="14.42578125" customWidth="1"/>
    <col min="23" max="23" width="16.28515625" customWidth="1"/>
  </cols>
  <sheetData>
    <row r="1" spans="1:23" s="44" customFormat="1" x14ac:dyDescent="0.25">
      <c r="B1" s="44" t="s">
        <v>20</v>
      </c>
      <c r="C1" s="44" t="s">
        <v>18</v>
      </c>
      <c r="D1" s="44" t="s">
        <v>17</v>
      </c>
      <c r="E1" s="44" t="s">
        <v>19</v>
      </c>
      <c r="F1" s="44" t="s">
        <v>21</v>
      </c>
      <c r="G1" s="44" t="s">
        <v>22</v>
      </c>
      <c r="H1" s="44" t="s">
        <v>23</v>
      </c>
      <c r="I1" s="45" t="s">
        <v>69</v>
      </c>
      <c r="K1" s="44" t="s">
        <v>24</v>
      </c>
      <c r="P1" s="44" t="s">
        <v>37</v>
      </c>
      <c r="U1" s="44" t="s">
        <v>38</v>
      </c>
    </row>
    <row r="2" spans="1:23" x14ac:dyDescent="0.25">
      <c r="A2">
        <v>1</v>
      </c>
      <c r="B2">
        <v>49.74</v>
      </c>
      <c r="C2">
        <v>50.83</v>
      </c>
      <c r="D2">
        <v>50.62</v>
      </c>
      <c r="E2">
        <v>51.86</v>
      </c>
      <c r="F2">
        <f>C2-B2</f>
        <v>1.0899999999999963</v>
      </c>
      <c r="G2">
        <f>D2-B2</f>
        <v>0.87999999999999545</v>
      </c>
      <c r="H2">
        <f>E2-B2</f>
        <v>2.1199999999999974</v>
      </c>
      <c r="I2" s="10">
        <f>H2/B2</f>
        <v>4.2621632488942449E-2</v>
      </c>
      <c r="K2" t="s">
        <v>25</v>
      </c>
      <c r="P2" t="s">
        <v>25</v>
      </c>
      <c r="U2" t="s">
        <v>25</v>
      </c>
    </row>
    <row r="3" spans="1:23" ht="15.75" thickBot="1" x14ac:dyDescent="0.3">
      <c r="A3">
        <v>2</v>
      </c>
      <c r="B3">
        <v>46.11</v>
      </c>
      <c r="C3">
        <v>48.47</v>
      </c>
      <c r="D3">
        <v>48.59</v>
      </c>
      <c r="E3">
        <v>50.2</v>
      </c>
      <c r="F3">
        <f t="shared" ref="F3:F39" si="0">C3-B3</f>
        <v>2.3599999999999994</v>
      </c>
      <c r="G3">
        <f t="shared" ref="G3:G39" si="1">D3-B3</f>
        <v>2.480000000000004</v>
      </c>
      <c r="H3">
        <f t="shared" ref="H3:H39" si="2">E3-B3</f>
        <v>4.0900000000000034</v>
      </c>
      <c r="I3" s="10">
        <f t="shared" ref="I3:I39" si="3">H3/B3</f>
        <v>8.8700932552591705E-2</v>
      </c>
    </row>
    <row r="4" spans="1:23" x14ac:dyDescent="0.25">
      <c r="A4">
        <v>3</v>
      </c>
      <c r="B4">
        <v>52.65</v>
      </c>
      <c r="C4">
        <v>53.06</v>
      </c>
      <c r="D4">
        <v>53.38</v>
      </c>
      <c r="E4">
        <v>55.61</v>
      </c>
      <c r="F4">
        <f t="shared" si="0"/>
        <v>0.41000000000000369</v>
      </c>
      <c r="G4">
        <f t="shared" si="1"/>
        <v>0.73000000000000398</v>
      </c>
      <c r="H4">
        <f t="shared" si="2"/>
        <v>2.9600000000000009</v>
      </c>
      <c r="I4" s="10">
        <f t="shared" si="3"/>
        <v>5.6220322886989568E-2</v>
      </c>
      <c r="K4" s="7"/>
      <c r="L4" s="7" t="s">
        <v>20</v>
      </c>
      <c r="M4" s="7" t="s">
        <v>18</v>
      </c>
      <c r="P4" s="7"/>
      <c r="Q4" s="7" t="s">
        <v>20</v>
      </c>
      <c r="R4" s="7" t="s">
        <v>17</v>
      </c>
      <c r="U4" s="7"/>
      <c r="V4" s="7" t="s">
        <v>20</v>
      </c>
      <c r="W4" s="7" t="s">
        <v>19</v>
      </c>
    </row>
    <row r="5" spans="1:23" x14ac:dyDescent="0.25">
      <c r="A5">
        <v>4</v>
      </c>
      <c r="B5">
        <v>48.39</v>
      </c>
      <c r="C5">
        <v>49</v>
      </c>
      <c r="D5">
        <v>49.3</v>
      </c>
      <c r="E5">
        <v>50.77</v>
      </c>
      <c r="F5">
        <f t="shared" si="0"/>
        <v>0.60999999999999943</v>
      </c>
      <c r="G5">
        <f t="shared" si="1"/>
        <v>0.90999999999999659</v>
      </c>
      <c r="H5">
        <f t="shared" si="2"/>
        <v>2.3800000000000026</v>
      </c>
      <c r="I5" s="10">
        <f t="shared" si="3"/>
        <v>4.9183715643728095E-2</v>
      </c>
      <c r="K5" s="5" t="s">
        <v>26</v>
      </c>
      <c r="L5" s="5">
        <v>52.930526315789479</v>
      </c>
      <c r="M5" s="5">
        <v>54.049473684210518</v>
      </c>
      <c r="P5" s="5" t="s">
        <v>26</v>
      </c>
      <c r="Q5" s="5">
        <v>52.930526315789479</v>
      </c>
      <c r="R5" s="5">
        <v>54.380263157894753</v>
      </c>
      <c r="U5" s="5" t="s">
        <v>26</v>
      </c>
      <c r="V5" s="5">
        <v>52.930526315789479</v>
      </c>
      <c r="W5" s="5">
        <v>55.371052631578948</v>
      </c>
    </row>
    <row r="6" spans="1:23" x14ac:dyDescent="0.25">
      <c r="A6">
        <v>5</v>
      </c>
      <c r="B6">
        <v>51.16</v>
      </c>
      <c r="C6">
        <v>51.42</v>
      </c>
      <c r="D6">
        <v>51.45</v>
      </c>
      <c r="E6">
        <v>52.58</v>
      </c>
      <c r="F6">
        <f t="shared" si="0"/>
        <v>0.26000000000000512</v>
      </c>
      <c r="G6">
        <f t="shared" si="1"/>
        <v>0.29000000000000625</v>
      </c>
      <c r="H6">
        <f t="shared" si="2"/>
        <v>1.4200000000000017</v>
      </c>
      <c r="I6" s="10">
        <f t="shared" si="3"/>
        <v>2.7756059421423021E-2</v>
      </c>
      <c r="K6" s="5" t="s">
        <v>27</v>
      </c>
      <c r="L6" s="5">
        <v>29.873151066855801</v>
      </c>
      <c r="M6" s="5">
        <v>27.890075391180659</v>
      </c>
      <c r="P6" s="5" t="s">
        <v>27</v>
      </c>
      <c r="Q6" s="5">
        <v>29.873151066855801</v>
      </c>
      <c r="R6" s="5">
        <v>28.35078100995732</v>
      </c>
      <c r="U6" s="5" t="s">
        <v>27</v>
      </c>
      <c r="V6" s="5">
        <v>29.873151066855801</v>
      </c>
      <c r="W6" s="5">
        <v>27.893663726884782</v>
      </c>
    </row>
    <row r="7" spans="1:23" x14ac:dyDescent="0.25">
      <c r="A7">
        <v>6</v>
      </c>
      <c r="B7">
        <v>43.72</v>
      </c>
      <c r="C7">
        <v>45.19</v>
      </c>
      <c r="D7">
        <v>45.19</v>
      </c>
      <c r="E7">
        <v>45.75</v>
      </c>
      <c r="F7">
        <f t="shared" si="0"/>
        <v>1.4699999999999989</v>
      </c>
      <c r="G7">
        <f t="shared" si="1"/>
        <v>1.4699999999999989</v>
      </c>
      <c r="H7">
        <f t="shared" si="2"/>
        <v>2.0300000000000011</v>
      </c>
      <c r="I7" s="10">
        <f t="shared" si="3"/>
        <v>4.6431838975297374E-2</v>
      </c>
      <c r="K7" s="5" t="s">
        <v>28</v>
      </c>
      <c r="L7" s="5">
        <v>38</v>
      </c>
      <c r="M7" s="5">
        <v>38</v>
      </c>
      <c r="P7" s="5" t="s">
        <v>28</v>
      </c>
      <c r="Q7" s="5">
        <v>38</v>
      </c>
      <c r="R7" s="5">
        <v>38</v>
      </c>
      <c r="U7" s="5" t="s">
        <v>28</v>
      </c>
      <c r="V7" s="5">
        <v>38</v>
      </c>
      <c r="W7" s="5">
        <v>38</v>
      </c>
    </row>
    <row r="8" spans="1:23" x14ac:dyDescent="0.25">
      <c r="A8">
        <v>7</v>
      </c>
      <c r="B8">
        <v>46.49</v>
      </c>
      <c r="C8">
        <v>47.71</v>
      </c>
      <c r="D8">
        <v>46.64</v>
      </c>
      <c r="E8">
        <v>47.25</v>
      </c>
      <c r="F8">
        <f t="shared" si="0"/>
        <v>1.2199999999999989</v>
      </c>
      <c r="G8">
        <f t="shared" si="1"/>
        <v>0.14999999999999858</v>
      </c>
      <c r="H8">
        <f t="shared" si="2"/>
        <v>0.75999999999999801</v>
      </c>
      <c r="I8" s="10">
        <f t="shared" si="3"/>
        <v>1.6347601634760119E-2</v>
      </c>
      <c r="K8" s="5" t="s">
        <v>29</v>
      </c>
      <c r="L8" s="5">
        <v>0.99009743094240688</v>
      </c>
      <c r="M8" s="5"/>
      <c r="P8" s="5" t="s">
        <v>29</v>
      </c>
      <c r="Q8" s="5">
        <v>0.9864542774708368</v>
      </c>
      <c r="R8" s="5"/>
      <c r="U8" s="5" t="s">
        <v>29</v>
      </c>
      <c r="V8" s="5">
        <v>0.98488839694350938</v>
      </c>
      <c r="W8" s="5"/>
    </row>
    <row r="9" spans="1:23" x14ac:dyDescent="0.25">
      <c r="A9">
        <v>8</v>
      </c>
      <c r="B9">
        <v>55.81</v>
      </c>
      <c r="C9">
        <v>56.26</v>
      </c>
      <c r="D9">
        <v>58.5</v>
      </c>
      <c r="E9">
        <v>57.98</v>
      </c>
      <c r="F9">
        <f t="shared" si="0"/>
        <v>0.44999999999999574</v>
      </c>
      <c r="G9">
        <f t="shared" si="1"/>
        <v>2.6899999999999977</v>
      </c>
      <c r="H9">
        <f t="shared" si="2"/>
        <v>2.1699999999999946</v>
      </c>
      <c r="I9" s="10">
        <f t="shared" si="3"/>
        <v>3.888192080272343E-2</v>
      </c>
      <c r="K9" s="5" t="s">
        <v>30</v>
      </c>
      <c r="L9" s="5">
        <v>0</v>
      </c>
      <c r="M9" s="5"/>
      <c r="P9" s="5" t="s">
        <v>30</v>
      </c>
      <c r="Q9" s="5">
        <v>0</v>
      </c>
      <c r="R9" s="5"/>
      <c r="U9" s="5" t="s">
        <v>30</v>
      </c>
      <c r="V9" s="5">
        <v>0</v>
      </c>
      <c r="W9" s="5"/>
    </row>
    <row r="10" spans="1:23" x14ac:dyDescent="0.25">
      <c r="A10">
        <v>9</v>
      </c>
      <c r="B10">
        <v>49.34</v>
      </c>
      <c r="C10">
        <v>49.46</v>
      </c>
      <c r="D10">
        <v>52.22</v>
      </c>
      <c r="E10">
        <v>52.64</v>
      </c>
      <c r="F10">
        <f t="shared" si="0"/>
        <v>0.11999999999999744</v>
      </c>
      <c r="G10">
        <f t="shared" si="1"/>
        <v>2.8799999999999955</v>
      </c>
      <c r="H10">
        <f t="shared" si="2"/>
        <v>3.2999999999999972</v>
      </c>
      <c r="I10" s="10">
        <f t="shared" si="3"/>
        <v>6.6882853668423128E-2</v>
      </c>
      <c r="K10" s="5" t="s">
        <v>31</v>
      </c>
      <c r="L10" s="5">
        <v>37</v>
      </c>
      <c r="M10" s="5"/>
      <c r="P10" s="5" t="s">
        <v>31</v>
      </c>
      <c r="Q10" s="5">
        <v>37</v>
      </c>
      <c r="R10" s="5"/>
      <c r="U10" s="5" t="s">
        <v>31</v>
      </c>
      <c r="V10" s="5">
        <v>37</v>
      </c>
      <c r="W10" s="5"/>
    </row>
    <row r="11" spans="1:23" x14ac:dyDescent="0.25">
      <c r="A11">
        <v>10</v>
      </c>
      <c r="B11">
        <v>52.99</v>
      </c>
      <c r="C11">
        <v>53.05</v>
      </c>
      <c r="D11">
        <v>56.07</v>
      </c>
      <c r="E11">
        <v>53.35</v>
      </c>
      <c r="F11">
        <f t="shared" si="0"/>
        <v>5.9999999999995168E-2</v>
      </c>
      <c r="G11">
        <f t="shared" si="1"/>
        <v>3.0799999999999983</v>
      </c>
      <c r="H11">
        <f t="shared" si="2"/>
        <v>0.35999999999999943</v>
      </c>
      <c r="I11" s="10">
        <f t="shared" si="3"/>
        <v>6.7937346669182759E-3</v>
      </c>
      <c r="K11" s="5" t="s">
        <v>32</v>
      </c>
      <c r="L11" s="5">
        <v>-8.862705049225859</v>
      </c>
      <c r="M11" s="5"/>
      <c r="P11" s="5" t="s">
        <v>32</v>
      </c>
      <c r="Q11" s="5">
        <v>-9.9400574682486589</v>
      </c>
      <c r="R11" s="5"/>
      <c r="U11" s="5" t="s">
        <v>32</v>
      </c>
      <c r="V11" s="5">
        <v>-15.802451934283795</v>
      </c>
      <c r="W11" s="5"/>
    </row>
    <row r="12" spans="1:23" x14ac:dyDescent="0.25">
      <c r="A12">
        <v>11</v>
      </c>
      <c r="B12">
        <v>55.02</v>
      </c>
      <c r="C12">
        <v>57.12</v>
      </c>
      <c r="D12">
        <v>56.57</v>
      </c>
      <c r="E12">
        <v>57.59</v>
      </c>
      <c r="F12">
        <f t="shared" si="0"/>
        <v>2.0999999999999943</v>
      </c>
      <c r="G12">
        <f t="shared" si="1"/>
        <v>1.5499999999999972</v>
      </c>
      <c r="H12">
        <f t="shared" si="2"/>
        <v>2.5700000000000003</v>
      </c>
      <c r="I12" s="10">
        <f t="shared" si="3"/>
        <v>4.6710287168302438E-2</v>
      </c>
      <c r="K12" s="5" t="s">
        <v>33</v>
      </c>
      <c r="L12" s="5">
        <v>5.5366131661644002E-11</v>
      </c>
      <c r="M12" s="5"/>
      <c r="P12" s="5" t="s">
        <v>33</v>
      </c>
      <c r="Q12" s="5">
        <v>2.7019024717511535E-12</v>
      </c>
      <c r="R12" s="5"/>
      <c r="U12" s="5" t="s">
        <v>33</v>
      </c>
      <c r="V12" s="5">
        <v>2.4607746230591748E-18</v>
      </c>
      <c r="W12" s="5"/>
    </row>
    <row r="13" spans="1:23" x14ac:dyDescent="0.25">
      <c r="A13">
        <v>12</v>
      </c>
      <c r="B13">
        <v>58.21</v>
      </c>
      <c r="C13">
        <v>59.05</v>
      </c>
      <c r="D13">
        <v>59.24</v>
      </c>
      <c r="E13">
        <v>60.28</v>
      </c>
      <c r="F13">
        <f t="shared" si="0"/>
        <v>0.83999999999999631</v>
      </c>
      <c r="G13">
        <f t="shared" si="1"/>
        <v>1.0300000000000011</v>
      </c>
      <c r="H13">
        <f t="shared" si="2"/>
        <v>2.0700000000000003</v>
      </c>
      <c r="I13" s="10">
        <f t="shared" si="3"/>
        <v>3.556090018897097E-2</v>
      </c>
      <c r="K13" s="5" t="s">
        <v>34</v>
      </c>
      <c r="L13" s="5">
        <v>1.6870936195962629</v>
      </c>
      <c r="M13" s="5"/>
      <c r="P13" s="5" t="s">
        <v>34</v>
      </c>
      <c r="Q13" s="5">
        <v>1.6870936195962629</v>
      </c>
      <c r="R13" s="5"/>
      <c r="U13" s="5" t="s">
        <v>34</v>
      </c>
      <c r="V13" s="5">
        <v>1.6870936195962629</v>
      </c>
      <c r="W13" s="5"/>
    </row>
    <row r="14" spans="1:23" x14ac:dyDescent="0.25">
      <c r="A14">
        <v>13</v>
      </c>
      <c r="B14">
        <v>52.89</v>
      </c>
      <c r="C14">
        <v>53.38</v>
      </c>
      <c r="D14">
        <v>54</v>
      </c>
      <c r="E14">
        <v>55.45</v>
      </c>
      <c r="F14">
        <f t="shared" si="0"/>
        <v>0.49000000000000199</v>
      </c>
      <c r="G14">
        <f t="shared" si="1"/>
        <v>1.1099999999999994</v>
      </c>
      <c r="H14">
        <f t="shared" si="2"/>
        <v>2.5600000000000023</v>
      </c>
      <c r="I14" s="10">
        <f t="shared" si="3"/>
        <v>4.8402344488561205E-2</v>
      </c>
      <c r="K14" s="5" t="s">
        <v>35</v>
      </c>
      <c r="L14" s="5">
        <v>1.10732263323288E-10</v>
      </c>
      <c r="M14" s="5"/>
      <c r="P14" s="5" t="s">
        <v>35</v>
      </c>
      <c r="Q14" s="5">
        <v>5.4038049435023069E-12</v>
      </c>
      <c r="R14" s="5"/>
      <c r="U14" s="5" t="s">
        <v>35</v>
      </c>
      <c r="V14" s="5">
        <v>4.9215492461183496E-18</v>
      </c>
      <c r="W14" s="5"/>
    </row>
    <row r="15" spans="1:23" ht="15.75" thickBot="1" x14ac:dyDescent="0.3">
      <c r="A15">
        <v>14</v>
      </c>
      <c r="B15">
        <v>59.5</v>
      </c>
      <c r="C15">
        <v>60.51</v>
      </c>
      <c r="D15">
        <v>61.53</v>
      </c>
      <c r="E15">
        <v>62.68</v>
      </c>
      <c r="F15">
        <f t="shared" si="0"/>
        <v>1.009999999999998</v>
      </c>
      <c r="G15">
        <f t="shared" si="1"/>
        <v>2.0300000000000011</v>
      </c>
      <c r="H15">
        <f t="shared" si="2"/>
        <v>3.1799999999999997</v>
      </c>
      <c r="I15" s="10">
        <f t="shared" si="3"/>
        <v>5.3445378151260499E-2</v>
      </c>
      <c r="K15" s="6" t="s">
        <v>36</v>
      </c>
      <c r="L15" s="6">
        <v>2.026192463029111</v>
      </c>
      <c r="M15" s="6"/>
      <c r="P15" s="6" t="s">
        <v>36</v>
      </c>
      <c r="Q15" s="6">
        <v>2.026192463029111</v>
      </c>
      <c r="R15" s="6"/>
      <c r="U15" s="6" t="s">
        <v>36</v>
      </c>
      <c r="V15" s="6">
        <v>2.026192463029111</v>
      </c>
      <c r="W15" s="6"/>
    </row>
    <row r="16" spans="1:23" x14ac:dyDescent="0.25">
      <c r="A16">
        <v>15</v>
      </c>
      <c r="B16">
        <v>56.41</v>
      </c>
      <c r="C16">
        <v>57.65</v>
      </c>
      <c r="D16">
        <v>56.49</v>
      </c>
      <c r="E16">
        <v>57.35</v>
      </c>
      <c r="F16">
        <f t="shared" si="0"/>
        <v>1.240000000000002</v>
      </c>
      <c r="G16">
        <f t="shared" si="1"/>
        <v>8.00000000000054E-2</v>
      </c>
      <c r="H16">
        <f t="shared" si="2"/>
        <v>0.94000000000000483</v>
      </c>
      <c r="I16" s="10">
        <f t="shared" si="3"/>
        <v>1.6663712107782395E-2</v>
      </c>
    </row>
    <row r="17" spans="1:12" x14ac:dyDescent="0.25">
      <c r="A17">
        <v>16</v>
      </c>
      <c r="B17">
        <v>49.64</v>
      </c>
      <c r="C17">
        <v>50.3</v>
      </c>
      <c r="D17">
        <v>50.34</v>
      </c>
      <c r="E17">
        <v>52.6</v>
      </c>
      <c r="F17">
        <f t="shared" si="0"/>
        <v>0.65999999999999659</v>
      </c>
      <c r="G17">
        <f t="shared" si="1"/>
        <v>0.70000000000000284</v>
      </c>
      <c r="H17">
        <f t="shared" si="2"/>
        <v>2.9600000000000009</v>
      </c>
      <c r="I17" s="10">
        <f t="shared" si="3"/>
        <v>5.9629331184528622E-2</v>
      </c>
    </row>
    <row r="18" spans="1:12" x14ac:dyDescent="0.25">
      <c r="A18">
        <v>17</v>
      </c>
      <c r="B18">
        <v>50.57</v>
      </c>
      <c r="C18">
        <v>52.65</v>
      </c>
      <c r="D18">
        <v>52.26</v>
      </c>
      <c r="E18">
        <v>52.2</v>
      </c>
      <c r="F18">
        <f t="shared" si="0"/>
        <v>2.0799999999999983</v>
      </c>
      <c r="G18">
        <f t="shared" si="1"/>
        <v>1.6899999999999977</v>
      </c>
      <c r="H18">
        <f t="shared" si="2"/>
        <v>1.6300000000000026</v>
      </c>
      <c r="I18" s="10">
        <f t="shared" si="3"/>
        <v>3.2232548942060561E-2</v>
      </c>
    </row>
    <row r="19" spans="1:12" x14ac:dyDescent="0.25">
      <c r="A19">
        <v>18</v>
      </c>
      <c r="B19">
        <v>53.56</v>
      </c>
      <c r="C19">
        <v>53.93</v>
      </c>
      <c r="D19">
        <v>54.76</v>
      </c>
      <c r="E19">
        <v>54.92</v>
      </c>
      <c r="F19">
        <f t="shared" si="0"/>
        <v>0.36999999999999744</v>
      </c>
      <c r="G19">
        <f t="shared" si="1"/>
        <v>1.1999999999999957</v>
      </c>
      <c r="H19">
        <f t="shared" si="2"/>
        <v>1.3599999999999994</v>
      </c>
      <c r="I19" s="10">
        <f t="shared" si="3"/>
        <v>2.5392083644510816E-2</v>
      </c>
      <c r="K19" s="5">
        <v>52.930526315789479</v>
      </c>
      <c r="L19" s="5">
        <v>29.873151066855801</v>
      </c>
    </row>
    <row r="20" spans="1:12" x14ac:dyDescent="0.25">
      <c r="A20">
        <v>19</v>
      </c>
      <c r="B20">
        <v>50.46</v>
      </c>
      <c r="C20">
        <v>51.32</v>
      </c>
      <c r="D20">
        <v>52.23</v>
      </c>
      <c r="E20">
        <v>53.3</v>
      </c>
      <c r="F20">
        <f t="shared" si="0"/>
        <v>0.85999999999999943</v>
      </c>
      <c r="G20">
        <f t="shared" si="1"/>
        <v>1.769999999999996</v>
      </c>
      <c r="H20">
        <f t="shared" si="2"/>
        <v>2.8399999999999963</v>
      </c>
      <c r="I20" s="10">
        <f t="shared" si="3"/>
        <v>5.6282203725723269E-2</v>
      </c>
      <c r="K20" s="5">
        <v>54.049473684210518</v>
      </c>
      <c r="L20" s="5">
        <v>27.890075391180659</v>
      </c>
    </row>
    <row r="21" spans="1:12" x14ac:dyDescent="0.25">
      <c r="A21">
        <v>20</v>
      </c>
      <c r="B21">
        <v>38.54</v>
      </c>
      <c r="C21">
        <v>41.01</v>
      </c>
      <c r="D21">
        <v>40.590000000000003</v>
      </c>
      <c r="E21">
        <v>42.98</v>
      </c>
      <c r="F21">
        <f t="shared" si="0"/>
        <v>2.4699999999999989</v>
      </c>
      <c r="G21">
        <f t="shared" si="1"/>
        <v>2.0500000000000043</v>
      </c>
      <c r="H21">
        <f t="shared" si="2"/>
        <v>4.4399999999999977</v>
      </c>
      <c r="I21" s="10">
        <f t="shared" si="3"/>
        <v>0.11520498183705236</v>
      </c>
      <c r="K21" s="5">
        <v>54.380263157894753</v>
      </c>
      <c r="L21" s="5">
        <v>28.35078100995732</v>
      </c>
    </row>
    <row r="22" spans="1:12" x14ac:dyDescent="0.25">
      <c r="A22">
        <v>21</v>
      </c>
      <c r="B22">
        <v>57.97</v>
      </c>
      <c r="C22">
        <v>59.48</v>
      </c>
      <c r="D22">
        <v>59.43</v>
      </c>
      <c r="E22">
        <v>60.63</v>
      </c>
      <c r="F22">
        <f t="shared" si="0"/>
        <v>1.509999999999998</v>
      </c>
      <c r="G22">
        <f t="shared" si="1"/>
        <v>1.4600000000000009</v>
      </c>
      <c r="H22">
        <f t="shared" si="2"/>
        <v>2.6600000000000037</v>
      </c>
      <c r="I22" s="10">
        <f t="shared" si="3"/>
        <v>4.5885803001552594E-2</v>
      </c>
      <c r="K22" s="5">
        <v>55.371052631578948</v>
      </c>
      <c r="L22" s="5">
        <v>27.893663726884782</v>
      </c>
    </row>
    <row r="23" spans="1:12" x14ac:dyDescent="0.25">
      <c r="A23">
        <v>22</v>
      </c>
      <c r="B23">
        <v>55.14</v>
      </c>
      <c r="C23">
        <v>56.1</v>
      </c>
      <c r="D23">
        <v>56.94</v>
      </c>
      <c r="E23">
        <v>58.37</v>
      </c>
      <c r="F23">
        <f t="shared" si="0"/>
        <v>0.96000000000000085</v>
      </c>
      <c r="G23">
        <f t="shared" si="1"/>
        <v>1.7999999999999972</v>
      </c>
      <c r="H23">
        <f t="shared" si="2"/>
        <v>3.2299999999999969</v>
      </c>
      <c r="I23" s="10">
        <f t="shared" si="3"/>
        <v>5.8578164671744593E-2</v>
      </c>
    </row>
    <row r="24" spans="1:12" x14ac:dyDescent="0.25">
      <c r="A24">
        <v>23</v>
      </c>
      <c r="B24">
        <v>45.62</v>
      </c>
      <c r="C24">
        <v>47.2</v>
      </c>
      <c r="D24">
        <v>46.41</v>
      </c>
      <c r="E24">
        <v>47.84</v>
      </c>
      <c r="F24">
        <f t="shared" si="0"/>
        <v>1.5800000000000054</v>
      </c>
      <c r="G24">
        <f t="shared" si="1"/>
        <v>0.78999999999999915</v>
      </c>
      <c r="H24">
        <f t="shared" si="2"/>
        <v>2.220000000000006</v>
      </c>
      <c r="I24" s="10">
        <f t="shared" si="3"/>
        <v>4.86628671635249E-2</v>
      </c>
    </row>
    <row r="25" spans="1:12" x14ac:dyDescent="0.25">
      <c r="A25">
        <v>24</v>
      </c>
      <c r="B25">
        <v>57.13</v>
      </c>
      <c r="C25">
        <v>57.6</v>
      </c>
      <c r="D25">
        <v>58.4</v>
      </c>
      <c r="E25">
        <v>59.47</v>
      </c>
      <c r="F25">
        <f t="shared" si="0"/>
        <v>0.46999999999999886</v>
      </c>
      <c r="G25">
        <f t="shared" si="1"/>
        <v>1.269999999999996</v>
      </c>
      <c r="H25">
        <f t="shared" si="2"/>
        <v>2.3399999999999963</v>
      </c>
      <c r="I25" s="10">
        <f t="shared" si="3"/>
        <v>4.0959215823560234E-2</v>
      </c>
    </row>
    <row r="26" spans="1:12" x14ac:dyDescent="0.25">
      <c r="A26">
        <v>25</v>
      </c>
      <c r="B26">
        <v>57.93</v>
      </c>
      <c r="C26">
        <v>60.35</v>
      </c>
      <c r="D26">
        <v>60.15</v>
      </c>
      <c r="E26">
        <v>61.64</v>
      </c>
      <c r="F26">
        <f t="shared" si="0"/>
        <v>2.4200000000000017</v>
      </c>
      <c r="G26">
        <f t="shared" si="1"/>
        <v>2.2199999999999989</v>
      </c>
      <c r="H26">
        <f t="shared" si="2"/>
        <v>3.7100000000000009</v>
      </c>
      <c r="I26" s="10">
        <f t="shared" si="3"/>
        <v>6.4042810288278976E-2</v>
      </c>
    </row>
    <row r="27" spans="1:12" x14ac:dyDescent="0.25">
      <c r="A27">
        <v>26</v>
      </c>
      <c r="B27">
        <v>60.8</v>
      </c>
      <c r="C27">
        <v>62.87</v>
      </c>
      <c r="D27">
        <v>61.72</v>
      </c>
      <c r="E27">
        <v>63.27</v>
      </c>
      <c r="F27">
        <f t="shared" si="0"/>
        <v>2.0700000000000003</v>
      </c>
      <c r="G27">
        <f t="shared" si="1"/>
        <v>0.92000000000000171</v>
      </c>
      <c r="H27">
        <f t="shared" si="2"/>
        <v>2.470000000000006</v>
      </c>
      <c r="I27" s="10">
        <f t="shared" si="3"/>
        <v>4.0625000000000099E-2</v>
      </c>
    </row>
    <row r="28" spans="1:12" x14ac:dyDescent="0.25">
      <c r="A28">
        <v>27</v>
      </c>
      <c r="B28">
        <v>61.23</v>
      </c>
      <c r="C28">
        <v>61.75</v>
      </c>
      <c r="D28">
        <v>60.82</v>
      </c>
      <c r="E28">
        <v>62.29</v>
      </c>
      <c r="F28">
        <f t="shared" si="0"/>
        <v>0.52000000000000313</v>
      </c>
      <c r="G28">
        <f t="shared" si="1"/>
        <v>-0.40999999999999659</v>
      </c>
      <c r="H28">
        <f t="shared" si="2"/>
        <v>1.0600000000000023</v>
      </c>
      <c r="I28" s="10">
        <f t="shared" si="3"/>
        <v>1.731177527355875E-2</v>
      </c>
    </row>
    <row r="29" spans="1:12" x14ac:dyDescent="0.25">
      <c r="A29">
        <v>28</v>
      </c>
      <c r="B29">
        <v>58.63</v>
      </c>
      <c r="C29">
        <v>60.46</v>
      </c>
      <c r="D29">
        <v>60.24</v>
      </c>
      <c r="E29">
        <v>61.25</v>
      </c>
      <c r="F29">
        <f t="shared" si="0"/>
        <v>1.8299999999999983</v>
      </c>
      <c r="G29">
        <f t="shared" si="1"/>
        <v>1.6099999999999994</v>
      </c>
      <c r="H29">
        <f t="shared" si="2"/>
        <v>2.6199999999999974</v>
      </c>
      <c r="I29" s="10">
        <f t="shared" si="3"/>
        <v>4.4687020296776347E-2</v>
      </c>
    </row>
    <row r="30" spans="1:12" x14ac:dyDescent="0.25">
      <c r="A30">
        <v>29</v>
      </c>
      <c r="B30">
        <v>54.49</v>
      </c>
      <c r="C30">
        <v>55.52</v>
      </c>
      <c r="D30">
        <v>56.13</v>
      </c>
      <c r="E30">
        <v>57.96</v>
      </c>
      <c r="F30">
        <f t="shared" si="0"/>
        <v>1.0300000000000011</v>
      </c>
      <c r="G30">
        <f t="shared" si="1"/>
        <v>1.6400000000000006</v>
      </c>
      <c r="H30">
        <f t="shared" si="2"/>
        <v>3.4699999999999989</v>
      </c>
      <c r="I30" s="10">
        <f t="shared" si="3"/>
        <v>6.3681409432923455E-2</v>
      </c>
    </row>
    <row r="31" spans="1:12" x14ac:dyDescent="0.25">
      <c r="A31">
        <v>30</v>
      </c>
      <c r="B31">
        <v>55.78</v>
      </c>
      <c r="C31">
        <v>56.29</v>
      </c>
      <c r="D31">
        <v>57.67</v>
      </c>
      <c r="E31">
        <v>58.66</v>
      </c>
      <c r="F31">
        <f t="shared" si="0"/>
        <v>0.50999999999999801</v>
      </c>
      <c r="G31">
        <f t="shared" si="1"/>
        <v>1.8900000000000006</v>
      </c>
      <c r="H31">
        <f t="shared" si="2"/>
        <v>2.8799999999999955</v>
      </c>
      <c r="I31" s="10">
        <f t="shared" si="3"/>
        <v>5.1631409107206802E-2</v>
      </c>
    </row>
    <row r="32" spans="1:12" x14ac:dyDescent="0.25">
      <c r="A32">
        <v>31</v>
      </c>
      <c r="B32">
        <v>62.02</v>
      </c>
      <c r="C32">
        <v>62.23</v>
      </c>
      <c r="D32">
        <v>62.24</v>
      </c>
      <c r="E32">
        <v>64.12</v>
      </c>
      <c r="F32">
        <f t="shared" si="0"/>
        <v>0.20999999999999375</v>
      </c>
      <c r="G32">
        <f t="shared" si="1"/>
        <v>0.21999999999999886</v>
      </c>
      <c r="H32">
        <f t="shared" si="2"/>
        <v>2.1000000000000014</v>
      </c>
      <c r="I32" s="10">
        <f t="shared" si="3"/>
        <v>3.3860045146726886E-2</v>
      </c>
    </row>
    <row r="33" spans="1:9" x14ac:dyDescent="0.25">
      <c r="A33">
        <v>33</v>
      </c>
      <c r="B33">
        <v>57.36</v>
      </c>
      <c r="C33">
        <v>57.98</v>
      </c>
      <c r="D33">
        <v>58.91</v>
      </c>
      <c r="E33">
        <v>60.09</v>
      </c>
      <c r="F33">
        <f t="shared" si="0"/>
        <v>0.61999999999999744</v>
      </c>
      <c r="G33">
        <f t="shared" si="1"/>
        <v>1.5499999999999972</v>
      </c>
      <c r="H33">
        <f t="shared" si="2"/>
        <v>2.730000000000004</v>
      </c>
      <c r="I33" s="10">
        <f t="shared" si="3"/>
        <v>4.7594142259414295E-2</v>
      </c>
    </row>
    <row r="34" spans="1:9" x14ac:dyDescent="0.25">
      <c r="A34">
        <v>34</v>
      </c>
      <c r="B34">
        <v>50.73</v>
      </c>
      <c r="C34">
        <v>51.05</v>
      </c>
      <c r="D34">
        <v>51.66</v>
      </c>
      <c r="E34">
        <v>52.32</v>
      </c>
      <c r="F34">
        <f t="shared" si="0"/>
        <v>0.32000000000000028</v>
      </c>
      <c r="G34">
        <f t="shared" si="1"/>
        <v>0.92999999999999972</v>
      </c>
      <c r="H34">
        <f t="shared" si="2"/>
        <v>1.5900000000000034</v>
      </c>
      <c r="I34" s="10">
        <f t="shared" si="3"/>
        <v>3.1342400946185761E-2</v>
      </c>
    </row>
    <row r="35" spans="1:9" x14ac:dyDescent="0.25">
      <c r="A35">
        <v>36</v>
      </c>
      <c r="B35">
        <v>60.95</v>
      </c>
      <c r="C35">
        <v>61.2</v>
      </c>
      <c r="D35">
        <v>61.43</v>
      </c>
      <c r="E35">
        <v>61.63</v>
      </c>
      <c r="F35">
        <f t="shared" si="0"/>
        <v>0.25</v>
      </c>
      <c r="G35">
        <f t="shared" si="1"/>
        <v>0.47999999999999687</v>
      </c>
      <c r="H35">
        <f t="shared" si="2"/>
        <v>0.67999999999999972</v>
      </c>
      <c r="I35" s="10">
        <f t="shared" si="3"/>
        <v>1.1156685808039371E-2</v>
      </c>
    </row>
    <row r="36" spans="1:9" x14ac:dyDescent="0.25">
      <c r="A36">
        <v>37</v>
      </c>
      <c r="B36">
        <v>46.09</v>
      </c>
      <c r="C36">
        <v>47.16</v>
      </c>
      <c r="D36">
        <v>47.34</v>
      </c>
      <c r="E36">
        <v>49.18</v>
      </c>
      <c r="F36">
        <f t="shared" si="0"/>
        <v>1.0699999999999932</v>
      </c>
      <c r="G36">
        <f t="shared" si="1"/>
        <v>1.25</v>
      </c>
      <c r="H36">
        <f t="shared" si="2"/>
        <v>3.0899999999999963</v>
      </c>
      <c r="I36" s="10">
        <f t="shared" si="3"/>
        <v>6.7042742460403468E-2</v>
      </c>
    </row>
    <row r="37" spans="1:9" x14ac:dyDescent="0.25">
      <c r="A37">
        <v>38</v>
      </c>
      <c r="B37">
        <v>48.29</v>
      </c>
      <c r="C37">
        <v>50.88</v>
      </c>
      <c r="D37">
        <v>51.32</v>
      </c>
      <c r="E37">
        <v>51.53</v>
      </c>
      <c r="F37">
        <f t="shared" si="0"/>
        <v>2.5900000000000034</v>
      </c>
      <c r="G37">
        <f t="shared" si="1"/>
        <v>3.0300000000000011</v>
      </c>
      <c r="H37">
        <f t="shared" si="2"/>
        <v>3.240000000000002</v>
      </c>
      <c r="I37" s="10">
        <f t="shared" si="3"/>
        <v>6.7094636570718624E-2</v>
      </c>
    </row>
    <row r="38" spans="1:9" x14ac:dyDescent="0.25">
      <c r="A38">
        <v>39</v>
      </c>
      <c r="B38">
        <v>51.16</v>
      </c>
      <c r="C38">
        <v>53.45</v>
      </c>
      <c r="D38">
        <v>54.49</v>
      </c>
      <c r="E38">
        <v>54.64</v>
      </c>
      <c r="F38">
        <f t="shared" si="0"/>
        <v>2.2900000000000063</v>
      </c>
      <c r="G38">
        <f t="shared" si="1"/>
        <v>3.3300000000000054</v>
      </c>
      <c r="H38">
        <f t="shared" si="2"/>
        <v>3.480000000000004</v>
      </c>
      <c r="I38" s="10">
        <f t="shared" si="3"/>
        <v>6.8021892103205708E-2</v>
      </c>
    </row>
    <row r="39" spans="1:9" x14ac:dyDescent="0.25">
      <c r="A39">
        <v>40</v>
      </c>
      <c r="B39">
        <v>48.84</v>
      </c>
      <c r="C39">
        <v>50.94</v>
      </c>
      <c r="D39">
        <v>51.18</v>
      </c>
      <c r="E39">
        <v>51.87</v>
      </c>
      <c r="F39">
        <f t="shared" si="0"/>
        <v>2.0999999999999943</v>
      </c>
      <c r="G39">
        <f t="shared" si="1"/>
        <v>2.3399999999999963</v>
      </c>
      <c r="H39">
        <f t="shared" si="2"/>
        <v>3.029999999999994</v>
      </c>
      <c r="I39" s="10">
        <f t="shared" si="3"/>
        <v>6.2039312039311914E-2</v>
      </c>
    </row>
    <row r="40" spans="1:9" x14ac:dyDescent="0.25">
      <c r="A40" t="s">
        <v>75</v>
      </c>
      <c r="F40">
        <f>AVERAGE(F2:F39)</f>
        <v>1.1189473684210518</v>
      </c>
      <c r="G40">
        <f t="shared" ref="G40:H40" si="4">AVERAGE(G2:G39)</f>
        <v>1.4497368421052628</v>
      </c>
      <c r="H40">
        <f t="shared" si="4"/>
        <v>2.4405263157894739</v>
      </c>
      <c r="I40" s="10">
        <f>AVERAGE(I2:I39)</f>
        <v>4.7198992541412715E-2</v>
      </c>
    </row>
    <row r="41" spans="1:9" x14ac:dyDescent="0.25">
      <c r="I41" s="11"/>
    </row>
    <row r="42" spans="1:9" x14ac:dyDescent="0.25">
      <c r="I42" s="11"/>
    </row>
    <row r="43" spans="1:9" x14ac:dyDescent="0.25">
      <c r="I43" s="11"/>
    </row>
    <row r="44" spans="1:9" x14ac:dyDescent="0.25">
      <c r="I44" s="11"/>
    </row>
    <row r="45" spans="1:9" x14ac:dyDescent="0.25">
      <c r="I45" s="11"/>
    </row>
    <row r="46" spans="1:9" x14ac:dyDescent="0.25">
      <c r="I46" s="11"/>
    </row>
    <row r="47" spans="1:9" ht="15.75" thickBot="1" x14ac:dyDescent="0.3">
      <c r="I47" s="12"/>
    </row>
    <row r="50" spans="9:9" ht="15.75" thickBot="1" x14ac:dyDescent="0.3"/>
    <row r="51" spans="9:9" x14ac:dyDescent="0.25">
      <c r="I51" s="13"/>
    </row>
    <row r="52" spans="9:9" x14ac:dyDescent="0.25">
      <c r="I52" s="11"/>
    </row>
    <row r="53" spans="9:9" x14ac:dyDescent="0.25">
      <c r="I53" s="11"/>
    </row>
    <row r="54" spans="9:9" x14ac:dyDescent="0.25">
      <c r="I54" s="11"/>
    </row>
    <row r="55" spans="9:9" x14ac:dyDescent="0.25">
      <c r="I55" s="11"/>
    </row>
    <row r="56" spans="9:9" ht="15.75" thickBot="1" x14ac:dyDescent="0.3">
      <c r="I56"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6"/>
  <sheetViews>
    <sheetView workbookViewId="0">
      <selection activeCell="F11" sqref="F11"/>
    </sheetView>
  </sheetViews>
  <sheetFormatPr defaultRowHeight="15" x14ac:dyDescent="0.25"/>
  <cols>
    <col min="1" max="1" width="11.42578125" customWidth="1"/>
    <col min="3" max="3" width="10.5703125" customWidth="1"/>
    <col min="6" max="6" width="17.7109375" customWidth="1"/>
    <col min="7" max="7" width="14" customWidth="1"/>
    <col min="8" max="8" width="13" customWidth="1"/>
    <col min="9" max="9" width="14" style="10" customWidth="1"/>
    <col min="10" max="10" width="13.140625" customWidth="1"/>
    <col min="11" max="11" width="10.42578125" customWidth="1"/>
    <col min="12" max="12" width="15.5703125" customWidth="1"/>
    <col min="13" max="13" width="14.7109375" customWidth="1"/>
    <col min="14" max="14" width="11.7109375" customWidth="1"/>
    <col min="15" max="15" width="12.85546875" customWidth="1"/>
    <col min="16" max="16" width="19.7109375" customWidth="1"/>
    <col min="17" max="17" width="18" customWidth="1"/>
    <col min="18" max="18" width="15.42578125" customWidth="1"/>
    <col min="21" max="21" width="18.85546875" customWidth="1"/>
    <col min="22" max="22" width="14" customWidth="1"/>
  </cols>
  <sheetData>
    <row r="1" spans="1:23" s="44" customFormat="1" x14ac:dyDescent="0.25">
      <c r="B1" s="44" t="s">
        <v>20</v>
      </c>
      <c r="C1" s="44" t="s">
        <v>18</v>
      </c>
      <c r="D1" s="44" t="s">
        <v>17</v>
      </c>
      <c r="E1" s="44" t="s">
        <v>19</v>
      </c>
      <c r="F1" s="44" t="s">
        <v>21</v>
      </c>
      <c r="G1" s="44" t="s">
        <v>22</v>
      </c>
      <c r="H1" s="44" t="s">
        <v>23</v>
      </c>
      <c r="I1" s="45" t="s">
        <v>69</v>
      </c>
      <c r="K1" s="44" t="s">
        <v>24</v>
      </c>
      <c r="P1" s="44" t="s">
        <v>37</v>
      </c>
      <c r="U1" s="44" t="s">
        <v>38</v>
      </c>
    </row>
    <row r="2" spans="1:23" x14ac:dyDescent="0.25">
      <c r="A2">
        <v>1</v>
      </c>
      <c r="B2">
        <v>49.465000000000003</v>
      </c>
      <c r="C2">
        <v>51.14</v>
      </c>
      <c r="D2">
        <v>51.2</v>
      </c>
      <c r="E2">
        <v>51.704999999999998</v>
      </c>
      <c r="F2">
        <f>C2-B2</f>
        <v>1.6749999999999972</v>
      </c>
      <c r="G2">
        <f>D2-B2</f>
        <v>1.7349999999999994</v>
      </c>
      <c r="H2">
        <f>E2-B2</f>
        <v>2.2399999999999949</v>
      </c>
      <c r="I2" s="10">
        <f>H2/B2</f>
        <v>4.52845446275143E-2</v>
      </c>
      <c r="K2" t="s">
        <v>25</v>
      </c>
      <c r="P2" t="s">
        <v>25</v>
      </c>
      <c r="U2" t="s">
        <v>25</v>
      </c>
    </row>
    <row r="3" spans="1:23" ht="15.75" thickBot="1" x14ac:dyDescent="0.3">
      <c r="A3">
        <v>2</v>
      </c>
      <c r="B3">
        <v>46.51</v>
      </c>
      <c r="C3">
        <v>48.65</v>
      </c>
      <c r="D3">
        <v>48.545000000000002</v>
      </c>
      <c r="E3">
        <v>51.07</v>
      </c>
      <c r="F3">
        <f>C3-B3</f>
        <v>2.1400000000000006</v>
      </c>
      <c r="G3">
        <f>D3-B3</f>
        <v>2.0350000000000037</v>
      </c>
      <c r="H3">
        <f>E3-B3</f>
        <v>4.5600000000000023</v>
      </c>
      <c r="I3" s="10">
        <f t="shared" ref="I3:I39" si="0">H3/B3</f>
        <v>9.8043431520103252E-2</v>
      </c>
    </row>
    <row r="4" spans="1:23" x14ac:dyDescent="0.25">
      <c r="A4">
        <v>3</v>
      </c>
      <c r="B4">
        <v>52.355000000000004</v>
      </c>
      <c r="C4">
        <v>52.984999999999999</v>
      </c>
      <c r="D4">
        <v>53.545000000000002</v>
      </c>
      <c r="E4">
        <v>55.305</v>
      </c>
      <c r="F4">
        <f>C4-B4</f>
        <v>0.62999999999999545</v>
      </c>
      <c r="G4">
        <f>D4-B4</f>
        <v>1.1899999999999977</v>
      </c>
      <c r="H4">
        <f>E4-B4</f>
        <v>2.9499999999999957</v>
      </c>
      <c r="I4" s="10">
        <f t="shared" si="0"/>
        <v>5.6346098748925516E-2</v>
      </c>
      <c r="K4" s="7"/>
      <c r="L4" s="7" t="s">
        <v>20</v>
      </c>
      <c r="M4" s="7" t="s">
        <v>18</v>
      </c>
      <c r="P4" s="7"/>
      <c r="Q4" s="7" t="s">
        <v>20</v>
      </c>
      <c r="R4" s="7" t="s">
        <v>17</v>
      </c>
      <c r="U4" s="7"/>
      <c r="V4" s="7" t="s">
        <v>20</v>
      </c>
      <c r="W4" s="7" t="s">
        <v>19</v>
      </c>
    </row>
    <row r="5" spans="1:23" x14ac:dyDescent="0.25">
      <c r="A5">
        <v>4</v>
      </c>
      <c r="B5">
        <v>48.42</v>
      </c>
      <c r="C5">
        <v>48.754999999999995</v>
      </c>
      <c r="D5">
        <v>49.265000000000001</v>
      </c>
      <c r="E5">
        <v>51.08</v>
      </c>
      <c r="F5">
        <f>C5-B5</f>
        <v>0.33499999999999375</v>
      </c>
      <c r="G5">
        <f>D5-B5</f>
        <v>0.84499999999999886</v>
      </c>
      <c r="H5">
        <f>E5-B5</f>
        <v>2.6599999999999966</v>
      </c>
      <c r="I5" s="10">
        <f t="shared" si="0"/>
        <v>5.4935976869062299E-2</v>
      </c>
      <c r="K5" s="5" t="s">
        <v>26</v>
      </c>
      <c r="L5" s="5">
        <v>52.880263157894738</v>
      </c>
      <c r="M5" s="5">
        <v>53.899868421052624</v>
      </c>
      <c r="P5" s="5" t="s">
        <v>26</v>
      </c>
      <c r="Q5" s="5">
        <v>52.880263157894738</v>
      </c>
      <c r="R5" s="5">
        <v>54.366973684210528</v>
      </c>
      <c r="U5" s="5" t="s">
        <v>26</v>
      </c>
      <c r="V5" s="5">
        <v>52.880263157894738</v>
      </c>
      <c r="W5" s="5">
        <v>55.352763157894742</v>
      </c>
    </row>
    <row r="6" spans="1:23" x14ac:dyDescent="0.25">
      <c r="A6">
        <v>5</v>
      </c>
      <c r="B6">
        <v>51.28</v>
      </c>
      <c r="C6">
        <v>51.46</v>
      </c>
      <c r="D6">
        <v>52.05</v>
      </c>
      <c r="E6">
        <v>52.314999999999998</v>
      </c>
      <c r="F6">
        <f>C6-B6</f>
        <v>0.17999999999999972</v>
      </c>
      <c r="G6">
        <f>D6-B6</f>
        <v>0.76999999999999602</v>
      </c>
      <c r="H6">
        <f>E6-B6</f>
        <v>1.0349999999999966</v>
      </c>
      <c r="I6" s="10">
        <f t="shared" si="0"/>
        <v>2.0183307332293225E-2</v>
      </c>
      <c r="K6" s="5" t="s">
        <v>27</v>
      </c>
      <c r="L6" s="5">
        <v>29.324372901849848</v>
      </c>
      <c r="M6" s="5">
        <v>27.671289847083923</v>
      </c>
      <c r="P6" s="5" t="s">
        <v>27</v>
      </c>
      <c r="Q6" s="5">
        <v>29.324372901849848</v>
      </c>
      <c r="R6" s="5">
        <v>28.878660188477955</v>
      </c>
      <c r="U6" s="5" t="s">
        <v>27</v>
      </c>
      <c r="V6" s="5">
        <v>29.324372901849848</v>
      </c>
      <c r="W6" s="5">
        <v>27.870891482930297</v>
      </c>
    </row>
    <row r="7" spans="1:23" x14ac:dyDescent="0.25">
      <c r="A7">
        <v>6</v>
      </c>
      <c r="B7">
        <v>43.69</v>
      </c>
      <c r="C7">
        <v>44.629999999999995</v>
      </c>
      <c r="D7">
        <v>44.55</v>
      </c>
      <c r="E7">
        <v>45.18</v>
      </c>
      <c r="F7">
        <f>C7-B7</f>
        <v>0.93999999999999773</v>
      </c>
      <c r="G7">
        <f>D7-B7</f>
        <v>0.85999999999999943</v>
      </c>
      <c r="H7">
        <f>E7-B7</f>
        <v>1.490000000000002</v>
      </c>
      <c r="I7" s="10">
        <f t="shared" si="0"/>
        <v>3.4103913939116548E-2</v>
      </c>
      <c r="K7" s="5" t="s">
        <v>28</v>
      </c>
      <c r="L7" s="5">
        <v>38</v>
      </c>
      <c r="M7" s="5">
        <v>38</v>
      </c>
      <c r="P7" s="5" t="s">
        <v>28</v>
      </c>
      <c r="Q7" s="5">
        <v>38</v>
      </c>
      <c r="R7" s="5">
        <v>38</v>
      </c>
      <c r="U7" s="5" t="s">
        <v>28</v>
      </c>
      <c r="V7" s="5">
        <v>38</v>
      </c>
      <c r="W7" s="5">
        <v>38</v>
      </c>
    </row>
    <row r="8" spans="1:23" x14ac:dyDescent="0.25">
      <c r="A8">
        <v>7</v>
      </c>
      <c r="B8">
        <v>46.465000000000003</v>
      </c>
      <c r="C8">
        <v>47.129999999999995</v>
      </c>
      <c r="D8">
        <v>47.135000000000005</v>
      </c>
      <c r="E8">
        <v>48.335000000000001</v>
      </c>
      <c r="F8">
        <f>C8-B8</f>
        <v>0.66499999999999204</v>
      </c>
      <c r="G8">
        <f>D8-B8</f>
        <v>0.67000000000000171</v>
      </c>
      <c r="H8">
        <f>E8-B8</f>
        <v>1.8699999999999974</v>
      </c>
      <c r="I8" s="10">
        <f t="shared" si="0"/>
        <v>4.0245345959324164E-2</v>
      </c>
      <c r="K8" s="5" t="s">
        <v>29</v>
      </c>
      <c r="L8" s="5">
        <v>0.9926881215344352</v>
      </c>
      <c r="M8" s="5"/>
      <c r="P8" s="5" t="s">
        <v>29</v>
      </c>
      <c r="Q8" s="5">
        <v>0.98917721411287607</v>
      </c>
      <c r="R8" s="5"/>
      <c r="U8" s="5" t="s">
        <v>29</v>
      </c>
      <c r="V8" s="5">
        <v>0.98662997202287461</v>
      </c>
      <c r="W8" s="5"/>
    </row>
    <row r="9" spans="1:23" x14ac:dyDescent="0.25">
      <c r="A9">
        <v>8</v>
      </c>
      <c r="B9">
        <v>55.424999999999997</v>
      </c>
      <c r="C9">
        <v>56.31</v>
      </c>
      <c r="D9">
        <v>57.975000000000001</v>
      </c>
      <c r="E9">
        <v>57.94</v>
      </c>
      <c r="F9">
        <f>C9-B9</f>
        <v>0.88500000000000512</v>
      </c>
      <c r="G9">
        <f>D9-B9</f>
        <v>2.5500000000000043</v>
      </c>
      <c r="H9">
        <f>E9-B9</f>
        <v>2.5150000000000006</v>
      </c>
      <c r="I9" s="10">
        <f t="shared" si="0"/>
        <v>4.537663509246731E-2</v>
      </c>
      <c r="K9" s="5" t="s">
        <v>30</v>
      </c>
      <c r="L9" s="5">
        <v>0</v>
      </c>
      <c r="M9" s="5"/>
      <c r="P9" s="5" t="s">
        <v>30</v>
      </c>
      <c r="Q9" s="5">
        <v>0</v>
      </c>
      <c r="R9" s="5"/>
      <c r="U9" s="5" t="s">
        <v>30</v>
      </c>
      <c r="V9" s="5">
        <v>0</v>
      </c>
      <c r="W9" s="5"/>
    </row>
    <row r="10" spans="1:23" x14ac:dyDescent="0.25">
      <c r="A10">
        <v>9</v>
      </c>
      <c r="B10">
        <v>49.45</v>
      </c>
      <c r="C10">
        <v>49.71</v>
      </c>
      <c r="D10">
        <v>51.914999999999999</v>
      </c>
      <c r="E10">
        <v>53.16</v>
      </c>
      <c r="F10">
        <f>C10-B10</f>
        <v>0.25999999999999801</v>
      </c>
      <c r="G10">
        <f>D10-B10</f>
        <v>2.4649999999999963</v>
      </c>
      <c r="H10">
        <f>E10-B10</f>
        <v>3.7099999999999937</v>
      </c>
      <c r="I10" s="10">
        <f t="shared" si="0"/>
        <v>7.5025278058644965E-2</v>
      </c>
      <c r="K10" s="5" t="s">
        <v>31</v>
      </c>
      <c r="L10" s="5">
        <v>37</v>
      </c>
      <c r="M10" s="5"/>
      <c r="P10" s="5" t="s">
        <v>31</v>
      </c>
      <c r="Q10" s="5">
        <v>37</v>
      </c>
      <c r="R10" s="5"/>
      <c r="U10" s="5" t="s">
        <v>31</v>
      </c>
      <c r="V10" s="5">
        <v>37</v>
      </c>
      <c r="W10" s="5"/>
    </row>
    <row r="11" spans="1:23" x14ac:dyDescent="0.25">
      <c r="A11">
        <v>10</v>
      </c>
      <c r="B11">
        <v>53.010000000000005</v>
      </c>
      <c r="C11">
        <v>53.04</v>
      </c>
      <c r="D11">
        <v>55.715000000000003</v>
      </c>
      <c r="E11">
        <v>53.734999999999999</v>
      </c>
      <c r="F11">
        <f>C11-B11</f>
        <v>2.9999999999994031E-2</v>
      </c>
      <c r="G11">
        <f>D11-B11</f>
        <v>2.7049999999999983</v>
      </c>
      <c r="H11">
        <f>E11-B11</f>
        <v>0.72499999999999432</v>
      </c>
      <c r="I11" s="10">
        <f t="shared" si="0"/>
        <v>1.3676664780230037E-2</v>
      </c>
      <c r="K11" s="5" t="s">
        <v>32</v>
      </c>
      <c r="L11" s="5">
        <v>-9.4695064050536413</v>
      </c>
      <c r="M11" s="5"/>
      <c r="P11" s="5" t="s">
        <v>32</v>
      </c>
      <c r="Q11" s="5">
        <v>-11.531736298868154</v>
      </c>
      <c r="R11" s="5"/>
      <c r="U11" s="5" t="s">
        <v>32</v>
      </c>
      <c r="V11" s="5">
        <v>-17.225329951841829</v>
      </c>
      <c r="W11" s="5"/>
    </row>
    <row r="12" spans="1:23" x14ac:dyDescent="0.25">
      <c r="A12">
        <v>11</v>
      </c>
      <c r="B12">
        <v>55.230000000000004</v>
      </c>
      <c r="C12">
        <v>56.344999999999999</v>
      </c>
      <c r="D12">
        <v>56.465000000000003</v>
      </c>
      <c r="E12">
        <v>57.290000000000006</v>
      </c>
      <c r="F12">
        <f>C12-B12</f>
        <v>1.1149999999999949</v>
      </c>
      <c r="G12">
        <f>D12-B12</f>
        <v>1.2349999999999994</v>
      </c>
      <c r="H12">
        <f>E12-B12</f>
        <v>2.0600000000000023</v>
      </c>
      <c r="I12" s="10">
        <f t="shared" si="0"/>
        <v>3.729856961796129E-2</v>
      </c>
      <c r="K12" s="5" t="s">
        <v>33</v>
      </c>
      <c r="L12" s="5">
        <v>9.9213472300969104E-12</v>
      </c>
      <c r="M12" s="5"/>
      <c r="P12" s="5" t="s">
        <v>33</v>
      </c>
      <c r="Q12" s="5">
        <v>4.1063905156443299E-14</v>
      </c>
      <c r="R12" s="5"/>
      <c r="U12" s="5" t="s">
        <v>33</v>
      </c>
      <c r="V12" s="5">
        <v>1.4701732634257691E-19</v>
      </c>
      <c r="W12" s="5"/>
    </row>
    <row r="13" spans="1:23" x14ac:dyDescent="0.25">
      <c r="A13">
        <v>12</v>
      </c>
      <c r="B13">
        <v>58.58</v>
      </c>
      <c r="C13">
        <v>59.37</v>
      </c>
      <c r="D13">
        <v>59.47</v>
      </c>
      <c r="E13">
        <v>60.355000000000004</v>
      </c>
      <c r="F13">
        <f>C13-B13</f>
        <v>0.78999999999999915</v>
      </c>
      <c r="G13">
        <f>D13-B13</f>
        <v>0.89000000000000057</v>
      </c>
      <c r="H13">
        <f>E13-B13</f>
        <v>1.7750000000000057</v>
      </c>
      <c r="I13" s="10">
        <f t="shared" si="0"/>
        <v>3.0300443837487295E-2</v>
      </c>
      <c r="K13" s="5" t="s">
        <v>34</v>
      </c>
      <c r="L13" s="5">
        <v>1.6870936195962629</v>
      </c>
      <c r="M13" s="5"/>
      <c r="P13" s="5" t="s">
        <v>34</v>
      </c>
      <c r="Q13" s="5">
        <v>1.6870936195962629</v>
      </c>
      <c r="R13" s="5"/>
      <c r="U13" s="5" t="s">
        <v>34</v>
      </c>
      <c r="V13" s="5">
        <v>1.6870936195962629</v>
      </c>
      <c r="W13" s="5"/>
    </row>
    <row r="14" spans="1:23" x14ac:dyDescent="0.25">
      <c r="A14">
        <v>13</v>
      </c>
      <c r="B14">
        <v>52.31</v>
      </c>
      <c r="C14">
        <v>53.015000000000001</v>
      </c>
      <c r="D14">
        <v>53.314999999999998</v>
      </c>
      <c r="E14">
        <v>55.064999999999998</v>
      </c>
      <c r="F14">
        <f>C14-B14</f>
        <v>0.70499999999999829</v>
      </c>
      <c r="G14">
        <f>D14-B14</f>
        <v>1.0049999999999955</v>
      </c>
      <c r="H14">
        <f>E14-B14</f>
        <v>2.7549999999999955</v>
      </c>
      <c r="I14" s="10">
        <f t="shared" si="0"/>
        <v>5.2666794112024379E-2</v>
      </c>
      <c r="K14" s="5" t="s">
        <v>35</v>
      </c>
      <c r="L14" s="5">
        <v>1.9842694460193821E-11</v>
      </c>
      <c r="M14" s="5"/>
      <c r="P14" s="5" t="s">
        <v>35</v>
      </c>
      <c r="Q14" s="5">
        <v>8.2127810312886597E-14</v>
      </c>
      <c r="R14" s="5"/>
      <c r="U14" s="5" t="s">
        <v>35</v>
      </c>
      <c r="V14" s="5">
        <v>2.9403465268515381E-19</v>
      </c>
      <c r="W14" s="5"/>
    </row>
    <row r="15" spans="1:23" ht="15.75" thickBot="1" x14ac:dyDescent="0.3">
      <c r="A15">
        <v>14</v>
      </c>
      <c r="B15">
        <v>59.61</v>
      </c>
      <c r="C15">
        <v>60.024999999999999</v>
      </c>
      <c r="D15">
        <v>61.885000000000005</v>
      </c>
      <c r="E15">
        <v>61.83</v>
      </c>
      <c r="F15">
        <f>C15-B15</f>
        <v>0.41499999999999915</v>
      </c>
      <c r="G15">
        <f>D15-B15</f>
        <v>2.2750000000000057</v>
      </c>
      <c r="H15">
        <f>E15-B15</f>
        <v>2.2199999999999989</v>
      </c>
      <c r="I15" s="10">
        <f t="shared" si="0"/>
        <v>3.7242073477604408E-2</v>
      </c>
      <c r="K15" s="6" t="s">
        <v>36</v>
      </c>
      <c r="L15" s="6">
        <v>2.026192463029111</v>
      </c>
      <c r="M15" s="6"/>
      <c r="P15" s="6" t="s">
        <v>36</v>
      </c>
      <c r="Q15" s="6">
        <v>2.026192463029111</v>
      </c>
      <c r="R15" s="6"/>
      <c r="U15" s="6" t="s">
        <v>36</v>
      </c>
      <c r="V15" s="6">
        <v>2.026192463029111</v>
      </c>
      <c r="W15" s="6"/>
    </row>
    <row r="16" spans="1:23" x14ac:dyDescent="0.25">
      <c r="A16">
        <v>15</v>
      </c>
      <c r="B16">
        <v>56.459999999999994</v>
      </c>
      <c r="C16">
        <v>57.515000000000001</v>
      </c>
      <c r="D16">
        <v>56.57</v>
      </c>
      <c r="E16">
        <v>57.594999999999999</v>
      </c>
      <c r="F16">
        <f>C16-B16</f>
        <v>1.0550000000000068</v>
      </c>
      <c r="G16">
        <f>D16-B16</f>
        <v>0.11000000000000654</v>
      </c>
      <c r="H16">
        <f>E16-B16</f>
        <v>1.1350000000000051</v>
      </c>
      <c r="I16" s="10">
        <f t="shared" si="0"/>
        <v>2.0102727594757442E-2</v>
      </c>
    </row>
    <row r="17" spans="1:13" x14ac:dyDescent="0.25">
      <c r="A17">
        <v>16</v>
      </c>
      <c r="B17">
        <v>49.745000000000005</v>
      </c>
      <c r="C17">
        <v>50.354999999999997</v>
      </c>
      <c r="D17">
        <v>50.52</v>
      </c>
      <c r="E17">
        <v>53.225000000000001</v>
      </c>
      <c r="F17">
        <f>C17-B17</f>
        <v>0.60999999999999233</v>
      </c>
      <c r="G17">
        <f>D17-B17</f>
        <v>0.77499999999999858</v>
      </c>
      <c r="H17">
        <f>E17-B17</f>
        <v>3.4799999999999969</v>
      </c>
      <c r="I17" s="10">
        <f t="shared" si="0"/>
        <v>6.9956779575836694E-2</v>
      </c>
    </row>
    <row r="18" spans="1:13" x14ac:dyDescent="0.25">
      <c r="A18">
        <v>17</v>
      </c>
      <c r="B18">
        <v>50.43</v>
      </c>
      <c r="C18">
        <v>52.234999999999999</v>
      </c>
      <c r="D18">
        <v>52.65</v>
      </c>
      <c r="E18">
        <v>52.085000000000001</v>
      </c>
      <c r="F18">
        <f>C18-B18</f>
        <v>1.8049999999999997</v>
      </c>
      <c r="G18">
        <f>D18-B18</f>
        <v>2.2199999999999989</v>
      </c>
      <c r="H18">
        <f>E18-B18</f>
        <v>1.6550000000000011</v>
      </c>
      <c r="I18" s="10">
        <f t="shared" si="0"/>
        <v>3.2817767202062288E-2</v>
      </c>
    </row>
    <row r="19" spans="1:13" x14ac:dyDescent="0.25">
      <c r="A19">
        <v>18</v>
      </c>
      <c r="B19">
        <v>53.305</v>
      </c>
      <c r="C19">
        <v>54.15</v>
      </c>
      <c r="D19">
        <v>54.864999999999995</v>
      </c>
      <c r="E19">
        <v>55.120000000000005</v>
      </c>
      <c r="F19">
        <f>C19-B19</f>
        <v>0.84499999999999886</v>
      </c>
      <c r="G19">
        <f>D19-B19</f>
        <v>1.5599999999999952</v>
      </c>
      <c r="H19">
        <f>E19-B19</f>
        <v>1.8150000000000048</v>
      </c>
      <c r="I19" s="10">
        <f t="shared" si="0"/>
        <v>3.4049338711190411E-2</v>
      </c>
      <c r="L19" s="5"/>
      <c r="M19" s="5"/>
    </row>
    <row r="20" spans="1:13" x14ac:dyDescent="0.25">
      <c r="A20">
        <v>19</v>
      </c>
      <c r="B20">
        <v>50.66</v>
      </c>
      <c r="C20">
        <v>51.344999999999999</v>
      </c>
      <c r="D20">
        <v>52.474999999999994</v>
      </c>
      <c r="E20">
        <v>53.474999999999994</v>
      </c>
      <c r="F20">
        <f>C20-B20</f>
        <v>0.68500000000000227</v>
      </c>
      <c r="G20">
        <f>D20-B20</f>
        <v>1.8149999999999977</v>
      </c>
      <c r="H20">
        <f>E20-B20</f>
        <v>2.8149999999999977</v>
      </c>
      <c r="I20" s="10">
        <f t="shared" si="0"/>
        <v>5.556652191077769E-2</v>
      </c>
      <c r="L20" s="5"/>
      <c r="M20" s="5"/>
    </row>
    <row r="21" spans="1:13" x14ac:dyDescent="0.25">
      <c r="A21">
        <v>20</v>
      </c>
      <c r="B21">
        <v>38.454999999999998</v>
      </c>
      <c r="C21">
        <v>40.33</v>
      </c>
      <c r="D21">
        <v>39.954999999999998</v>
      </c>
      <c r="E21">
        <v>42.155000000000001</v>
      </c>
      <c r="F21">
        <f>C21-B21</f>
        <v>1.875</v>
      </c>
      <c r="G21">
        <f>D21-B21</f>
        <v>1.5</v>
      </c>
      <c r="H21">
        <f>E21-B21</f>
        <v>3.7000000000000028</v>
      </c>
      <c r="I21" s="10">
        <f t="shared" si="0"/>
        <v>9.6216356780652795E-2</v>
      </c>
      <c r="L21" s="5"/>
      <c r="M21" s="5"/>
    </row>
    <row r="22" spans="1:13" x14ac:dyDescent="0.25">
      <c r="A22">
        <v>21</v>
      </c>
      <c r="B22">
        <v>57.519999999999996</v>
      </c>
      <c r="C22">
        <v>58.68</v>
      </c>
      <c r="D22">
        <v>59.35</v>
      </c>
      <c r="E22">
        <v>60.78</v>
      </c>
      <c r="F22">
        <f>C22-B22</f>
        <v>1.1600000000000037</v>
      </c>
      <c r="G22">
        <f>D22-B22</f>
        <v>1.8300000000000054</v>
      </c>
      <c r="H22">
        <f>E22-B22</f>
        <v>3.2600000000000051</v>
      </c>
      <c r="I22" s="10">
        <f t="shared" si="0"/>
        <v>5.6675938803894391E-2</v>
      </c>
      <c r="L22" s="5"/>
      <c r="M22" s="5"/>
    </row>
    <row r="23" spans="1:13" x14ac:dyDescent="0.25">
      <c r="A23">
        <v>22</v>
      </c>
      <c r="B23">
        <v>54.885000000000005</v>
      </c>
      <c r="C23">
        <v>55.405000000000001</v>
      </c>
      <c r="D23">
        <v>56.19</v>
      </c>
      <c r="E23">
        <v>57.92</v>
      </c>
      <c r="F23">
        <f>C23-B23</f>
        <v>0.51999999999999602</v>
      </c>
      <c r="G23">
        <f>D23-B23</f>
        <v>1.3049999999999926</v>
      </c>
      <c r="H23">
        <f>E23-B23</f>
        <v>3.0349999999999966</v>
      </c>
      <c r="I23" s="10">
        <f t="shared" si="0"/>
        <v>5.5297440102031456E-2</v>
      </c>
    </row>
    <row r="24" spans="1:13" x14ac:dyDescent="0.25">
      <c r="A24">
        <v>23</v>
      </c>
      <c r="B24">
        <v>45.524999999999999</v>
      </c>
      <c r="C24">
        <v>47.74</v>
      </c>
      <c r="D24">
        <v>46.739999999999995</v>
      </c>
      <c r="E24">
        <v>47.895000000000003</v>
      </c>
      <c r="F24">
        <f>C24-B24</f>
        <v>2.2150000000000034</v>
      </c>
      <c r="G24">
        <f>D24-B24</f>
        <v>1.2149999999999963</v>
      </c>
      <c r="H24">
        <f>E24-B24</f>
        <v>2.3700000000000045</v>
      </c>
      <c r="I24" s="10">
        <f t="shared" si="0"/>
        <v>5.2059308072487744E-2</v>
      </c>
    </row>
    <row r="25" spans="1:13" x14ac:dyDescent="0.25">
      <c r="A25">
        <v>24</v>
      </c>
      <c r="B25">
        <v>57.594999999999999</v>
      </c>
      <c r="C25">
        <v>57.855000000000004</v>
      </c>
      <c r="D25">
        <v>58.234999999999999</v>
      </c>
      <c r="E25">
        <v>59.66</v>
      </c>
      <c r="F25">
        <f>C25-B25</f>
        <v>0.26000000000000512</v>
      </c>
      <c r="G25">
        <f>D25-B25</f>
        <v>0.64000000000000057</v>
      </c>
      <c r="H25">
        <f>E25-B25</f>
        <v>2.0649999999999977</v>
      </c>
      <c r="I25" s="10">
        <f t="shared" si="0"/>
        <v>3.585380675405847E-2</v>
      </c>
    </row>
    <row r="26" spans="1:13" x14ac:dyDescent="0.25">
      <c r="A26">
        <v>25</v>
      </c>
      <c r="B26">
        <v>57.75</v>
      </c>
      <c r="C26">
        <v>59.585000000000001</v>
      </c>
      <c r="D26">
        <v>60.045000000000002</v>
      </c>
      <c r="E26">
        <v>61.195</v>
      </c>
      <c r="F26">
        <f>C26-B26</f>
        <v>1.8350000000000009</v>
      </c>
      <c r="G26">
        <f>D26-B26</f>
        <v>2.2950000000000017</v>
      </c>
      <c r="H26">
        <f>E26-B26</f>
        <v>3.4450000000000003</v>
      </c>
      <c r="I26" s="10">
        <f t="shared" si="0"/>
        <v>5.965367965367966E-2</v>
      </c>
    </row>
    <row r="27" spans="1:13" x14ac:dyDescent="0.25">
      <c r="A27">
        <v>26</v>
      </c>
      <c r="B27">
        <v>60.564999999999998</v>
      </c>
      <c r="C27">
        <v>62.814999999999998</v>
      </c>
      <c r="D27">
        <v>62.305</v>
      </c>
      <c r="E27">
        <v>63.66</v>
      </c>
      <c r="F27">
        <f>C27-B27</f>
        <v>2.25</v>
      </c>
      <c r="G27">
        <f>D27-B27</f>
        <v>1.740000000000002</v>
      </c>
      <c r="H27">
        <f>E27-B27</f>
        <v>3.0949999999999989</v>
      </c>
      <c r="I27" s="10">
        <f t="shared" si="0"/>
        <v>5.1102121687443228E-2</v>
      </c>
    </row>
    <row r="28" spans="1:13" x14ac:dyDescent="0.25">
      <c r="A28">
        <v>27</v>
      </c>
      <c r="B28">
        <v>60.64</v>
      </c>
      <c r="C28">
        <v>60.924999999999997</v>
      </c>
      <c r="D28">
        <v>61</v>
      </c>
      <c r="E28">
        <v>61.879999999999995</v>
      </c>
      <c r="F28">
        <f>C28-B28</f>
        <v>0.28499999999999659</v>
      </c>
      <c r="G28">
        <f>D28-B28</f>
        <v>0.35999999999999943</v>
      </c>
      <c r="H28">
        <f>E28-B28</f>
        <v>1.2399999999999949</v>
      </c>
      <c r="I28" s="10">
        <f t="shared" si="0"/>
        <v>2.0448548812664825E-2</v>
      </c>
    </row>
    <row r="29" spans="1:13" x14ac:dyDescent="0.25">
      <c r="A29">
        <v>28</v>
      </c>
      <c r="B29">
        <v>58.94</v>
      </c>
      <c r="C29">
        <v>60.21</v>
      </c>
      <c r="D29">
        <v>59.805</v>
      </c>
      <c r="E29">
        <v>61.18</v>
      </c>
      <c r="F29">
        <f>C29-B29</f>
        <v>1.2700000000000031</v>
      </c>
      <c r="G29">
        <f>D29-B29</f>
        <v>0.86500000000000199</v>
      </c>
      <c r="H29">
        <f>E29-B29</f>
        <v>2.240000000000002</v>
      </c>
      <c r="I29" s="10">
        <f t="shared" si="0"/>
        <v>3.8004750593824264E-2</v>
      </c>
    </row>
    <row r="30" spans="1:13" x14ac:dyDescent="0.25">
      <c r="A30">
        <v>29</v>
      </c>
      <c r="B30">
        <v>54.540000000000006</v>
      </c>
      <c r="C30">
        <v>55.575000000000003</v>
      </c>
      <c r="D30">
        <v>55.995000000000005</v>
      </c>
      <c r="E30">
        <v>57.754999999999995</v>
      </c>
      <c r="F30">
        <f>C30-B30</f>
        <v>1.0349999999999966</v>
      </c>
      <c r="G30">
        <f>D30-B30</f>
        <v>1.4549999999999983</v>
      </c>
      <c r="H30">
        <f>E30-B30</f>
        <v>3.2149999999999892</v>
      </c>
      <c r="I30" s="10">
        <f t="shared" si="0"/>
        <v>5.8947561422808742E-2</v>
      </c>
    </row>
    <row r="31" spans="1:13" x14ac:dyDescent="0.25">
      <c r="A31">
        <v>30</v>
      </c>
      <c r="B31">
        <v>55.3</v>
      </c>
      <c r="C31">
        <v>56.445</v>
      </c>
      <c r="D31">
        <v>57.5</v>
      </c>
      <c r="E31">
        <v>58.494999999999997</v>
      </c>
      <c r="F31">
        <f>C31-B31</f>
        <v>1.1450000000000031</v>
      </c>
      <c r="G31">
        <f>D31-B31</f>
        <v>2.2000000000000028</v>
      </c>
      <c r="H31">
        <f>E31-B31</f>
        <v>3.1950000000000003</v>
      </c>
      <c r="I31" s="10">
        <f t="shared" si="0"/>
        <v>5.7775768535262215E-2</v>
      </c>
    </row>
    <row r="32" spans="1:13" x14ac:dyDescent="0.25">
      <c r="A32">
        <v>31</v>
      </c>
      <c r="B32">
        <v>62.055000000000007</v>
      </c>
      <c r="C32">
        <v>62.319999999999993</v>
      </c>
      <c r="D32">
        <v>62.385000000000005</v>
      </c>
      <c r="E32">
        <v>64.569999999999993</v>
      </c>
      <c r="F32">
        <f>C32-B32</f>
        <v>0.26499999999998636</v>
      </c>
      <c r="G32">
        <f>D32-B32</f>
        <v>0.32999999999999829</v>
      </c>
      <c r="H32">
        <f>E32-B32</f>
        <v>2.5149999999999864</v>
      </c>
      <c r="I32" s="10">
        <f t="shared" si="0"/>
        <v>4.0528563371202739E-2</v>
      </c>
    </row>
    <row r="33" spans="1:9" x14ac:dyDescent="0.25">
      <c r="A33">
        <v>33</v>
      </c>
      <c r="B33">
        <v>57.1</v>
      </c>
      <c r="C33">
        <v>58.055</v>
      </c>
      <c r="D33">
        <v>59.33</v>
      </c>
      <c r="E33">
        <v>60.25</v>
      </c>
      <c r="F33">
        <f>C33-B33</f>
        <v>0.95499999999999829</v>
      </c>
      <c r="G33">
        <f>D33-B33</f>
        <v>2.2299999999999969</v>
      </c>
      <c r="H33">
        <f>E33-B33</f>
        <v>3.1499999999999986</v>
      </c>
      <c r="I33" s="10">
        <f t="shared" si="0"/>
        <v>5.516637478108579E-2</v>
      </c>
    </row>
    <row r="34" spans="1:9" x14ac:dyDescent="0.25">
      <c r="A34">
        <v>34</v>
      </c>
      <c r="B34">
        <v>51.064999999999998</v>
      </c>
      <c r="C34">
        <v>51.405000000000001</v>
      </c>
      <c r="D34">
        <v>51.81</v>
      </c>
      <c r="E34">
        <v>52.68</v>
      </c>
      <c r="F34">
        <f>C34-B34</f>
        <v>0.34000000000000341</v>
      </c>
      <c r="G34">
        <f>D34-B34</f>
        <v>0.74500000000000455</v>
      </c>
      <c r="H34">
        <f>E34-B34</f>
        <v>1.615000000000002</v>
      </c>
      <c r="I34" s="10">
        <f t="shared" si="0"/>
        <v>3.1626358562616315E-2</v>
      </c>
    </row>
    <row r="35" spans="1:9" x14ac:dyDescent="0.25">
      <c r="A35">
        <v>36</v>
      </c>
      <c r="B35">
        <v>60.484999999999999</v>
      </c>
      <c r="C35">
        <v>61.06</v>
      </c>
      <c r="D35">
        <v>61.15</v>
      </c>
      <c r="E35">
        <v>61.335000000000001</v>
      </c>
      <c r="F35">
        <f>C35-B35</f>
        <v>0.57500000000000284</v>
      </c>
      <c r="G35">
        <f>D35-B35</f>
        <v>0.66499999999999915</v>
      </c>
      <c r="H35">
        <f>E35-B35</f>
        <v>0.85000000000000142</v>
      </c>
      <c r="I35" s="10">
        <f t="shared" si="0"/>
        <v>1.4053071009341183E-2</v>
      </c>
    </row>
    <row r="36" spans="1:9" x14ac:dyDescent="0.25">
      <c r="A36">
        <v>37</v>
      </c>
      <c r="B36">
        <v>45.7</v>
      </c>
      <c r="C36">
        <v>46.774999999999999</v>
      </c>
      <c r="D36">
        <v>47.17</v>
      </c>
      <c r="E36">
        <v>48.234999999999999</v>
      </c>
      <c r="F36">
        <f>C36-B36</f>
        <v>1.0749999999999957</v>
      </c>
      <c r="G36">
        <f>D36-B36</f>
        <v>1.4699999999999989</v>
      </c>
      <c r="H36">
        <f>E36-B36</f>
        <v>2.5349999999999966</v>
      </c>
      <c r="I36" s="10">
        <f t="shared" si="0"/>
        <v>5.5470459518599483E-2</v>
      </c>
    </row>
    <row r="37" spans="1:9" x14ac:dyDescent="0.25">
      <c r="A37">
        <v>38</v>
      </c>
      <c r="B37">
        <v>48.414999999999999</v>
      </c>
      <c r="C37">
        <v>50.665000000000006</v>
      </c>
      <c r="D37">
        <v>50.6</v>
      </c>
      <c r="E37">
        <v>51.41</v>
      </c>
      <c r="F37">
        <f>C37-B37</f>
        <v>2.2500000000000071</v>
      </c>
      <c r="G37">
        <f>D37-B37</f>
        <v>2.1850000000000023</v>
      </c>
      <c r="H37">
        <f>E37-B37</f>
        <v>2.9949999999999974</v>
      </c>
      <c r="I37" s="10">
        <f t="shared" si="0"/>
        <v>6.1860993493751883E-2</v>
      </c>
    </row>
    <row r="38" spans="1:9" x14ac:dyDescent="0.25">
      <c r="A38">
        <v>39</v>
      </c>
      <c r="B38">
        <v>51.29</v>
      </c>
      <c r="C38">
        <v>53.475000000000001</v>
      </c>
      <c r="D38">
        <v>55.1</v>
      </c>
      <c r="E38">
        <v>54.635000000000005</v>
      </c>
      <c r="F38">
        <f>C38-B38</f>
        <v>2.1850000000000023</v>
      </c>
      <c r="G38">
        <f>D38-B38</f>
        <v>3.8100000000000023</v>
      </c>
      <c r="H38">
        <f>E38-B38</f>
        <v>3.345000000000006</v>
      </c>
      <c r="I38" s="10">
        <f t="shared" si="0"/>
        <v>6.5217391304347949E-2</v>
      </c>
    </row>
    <row r="39" spans="1:9" x14ac:dyDescent="0.25">
      <c r="A39">
        <v>40</v>
      </c>
      <c r="B39">
        <v>49.225000000000001</v>
      </c>
      <c r="C39">
        <v>50.709999999999994</v>
      </c>
      <c r="D39">
        <v>51.17</v>
      </c>
      <c r="E39">
        <v>51.849999999999994</v>
      </c>
      <c r="F39">
        <f>C39-B39</f>
        <v>1.4849999999999923</v>
      </c>
      <c r="G39">
        <f>D39-B39</f>
        <v>1.9450000000000003</v>
      </c>
      <c r="H39">
        <f>E39-B39</f>
        <v>2.6249999999999929</v>
      </c>
      <c r="I39" s="10">
        <f t="shared" si="0"/>
        <v>5.3326561706449831E-2</v>
      </c>
    </row>
    <row r="40" spans="1:9" x14ac:dyDescent="0.25">
      <c r="A40" t="s">
        <v>75</v>
      </c>
      <c r="F40">
        <f>AVERAGE(F2:F39)</f>
        <v>1.0196052631578938</v>
      </c>
      <c r="G40">
        <f t="shared" ref="G40:H40" si="1">AVERAGE(G2:G39)</f>
        <v>1.4867105263157894</v>
      </c>
      <c r="H40">
        <f t="shared" si="1"/>
        <v>2.4724999999999997</v>
      </c>
      <c r="I40" s="10">
        <f>AVERAGE(I2:I39)</f>
        <v>4.7697559682462816E-2</v>
      </c>
    </row>
    <row r="41" spans="1:9" x14ac:dyDescent="0.25">
      <c r="I41" s="11"/>
    </row>
    <row r="42" spans="1:9" x14ac:dyDescent="0.25">
      <c r="I42" s="11"/>
    </row>
    <row r="43" spans="1:9" x14ac:dyDescent="0.25">
      <c r="I43" s="11"/>
    </row>
    <row r="44" spans="1:9" x14ac:dyDescent="0.25">
      <c r="I44" s="11"/>
    </row>
    <row r="45" spans="1:9" x14ac:dyDescent="0.25">
      <c r="I45" s="11"/>
    </row>
    <row r="46" spans="1:9" x14ac:dyDescent="0.25">
      <c r="I46" s="11"/>
    </row>
    <row r="47" spans="1:9" ht="15.75" thickBot="1" x14ac:dyDescent="0.3">
      <c r="I47" s="12"/>
    </row>
    <row r="50" spans="9:9" ht="15.75" thickBot="1" x14ac:dyDescent="0.3"/>
    <row r="51" spans="9:9" x14ac:dyDescent="0.25">
      <c r="I51" s="13"/>
    </row>
    <row r="52" spans="9:9" x14ac:dyDescent="0.25">
      <c r="I52" s="11"/>
    </row>
    <row r="53" spans="9:9" x14ac:dyDescent="0.25">
      <c r="I53" s="11"/>
    </row>
    <row r="54" spans="9:9" x14ac:dyDescent="0.25">
      <c r="I54" s="11"/>
    </row>
    <row r="55" spans="9:9" x14ac:dyDescent="0.25">
      <c r="I55" s="11"/>
    </row>
    <row r="56" spans="9:9" ht="15.75" thickBot="1" x14ac:dyDescent="0.3">
      <c r="I56"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6"/>
  <sheetViews>
    <sheetView tabSelected="1" workbookViewId="0">
      <selection activeCell="K18" sqref="K18"/>
    </sheetView>
  </sheetViews>
  <sheetFormatPr defaultRowHeight="15" x14ac:dyDescent="0.25"/>
  <cols>
    <col min="2" max="2" width="18" customWidth="1"/>
    <col min="3" max="3" width="15.85546875" customWidth="1"/>
    <col min="4" max="4" width="14.42578125" customWidth="1"/>
    <col min="5" max="5" width="9.7109375" customWidth="1"/>
    <col min="6" max="6" width="15.7109375" customWidth="1"/>
    <col min="7" max="7" width="11" customWidth="1"/>
    <col min="8" max="8" width="11.7109375" customWidth="1"/>
    <col min="9" max="9" width="14" style="10" customWidth="1"/>
    <col min="10" max="10" width="19.42578125" customWidth="1"/>
    <col min="11" max="11" width="15.28515625" customWidth="1"/>
    <col min="12" max="12" width="16.7109375" customWidth="1"/>
    <col min="15" max="15" width="21.7109375" customWidth="1"/>
    <col min="16" max="16" width="13.85546875" customWidth="1"/>
    <col min="21" max="21" width="17.85546875" customWidth="1"/>
    <col min="22" max="22" width="17" customWidth="1"/>
    <col min="23" max="23" width="9.140625" customWidth="1"/>
  </cols>
  <sheetData>
    <row r="1" spans="1:23" s="44" customFormat="1" x14ac:dyDescent="0.25">
      <c r="B1" s="44" t="s">
        <v>13</v>
      </c>
      <c r="C1" s="44" t="s">
        <v>14</v>
      </c>
      <c r="D1" s="44" t="s">
        <v>15</v>
      </c>
      <c r="E1" s="44" t="s">
        <v>16</v>
      </c>
      <c r="F1" s="44" t="s">
        <v>39</v>
      </c>
      <c r="G1" s="44" t="s">
        <v>40</v>
      </c>
      <c r="H1" s="44" t="s">
        <v>41</v>
      </c>
      <c r="I1" s="45" t="s">
        <v>69</v>
      </c>
      <c r="J1" s="44" t="s">
        <v>24</v>
      </c>
      <c r="O1" s="44" t="s">
        <v>37</v>
      </c>
      <c r="T1" s="44" t="s">
        <v>38</v>
      </c>
    </row>
    <row r="2" spans="1:23" x14ac:dyDescent="0.25">
      <c r="A2">
        <v>1</v>
      </c>
      <c r="B2" s="8">
        <v>41.833333333333336</v>
      </c>
      <c r="C2" s="8">
        <v>46.550000000000004</v>
      </c>
      <c r="D2" s="8">
        <v>54.066666666666663</v>
      </c>
      <c r="E2" s="8">
        <v>61.133333333333333</v>
      </c>
      <c r="F2" s="9">
        <f>C2-B2</f>
        <v>4.7166666666666686</v>
      </c>
      <c r="G2" s="9">
        <f>D2-B2</f>
        <v>12.233333333333327</v>
      </c>
      <c r="H2" s="9">
        <f>E2-B2</f>
        <v>19.299999999999997</v>
      </c>
      <c r="I2" s="10">
        <f>H2/B2</f>
        <v>0.46135458167330667</v>
      </c>
      <c r="J2" t="s">
        <v>25</v>
      </c>
      <c r="O2" t="s">
        <v>25</v>
      </c>
      <c r="U2" t="s">
        <v>25</v>
      </c>
    </row>
    <row r="3" spans="1:23" ht="15.75" thickBot="1" x14ac:dyDescent="0.3">
      <c r="A3">
        <v>2</v>
      </c>
      <c r="B3" s="8">
        <v>47.550000000000004</v>
      </c>
      <c r="C3" s="8">
        <v>52.466666666666669</v>
      </c>
      <c r="D3" s="8">
        <v>58.35</v>
      </c>
      <c r="E3" s="8">
        <v>65.683333333333337</v>
      </c>
      <c r="F3" s="9">
        <f t="shared" ref="F3:F39" si="0">C3-B3</f>
        <v>4.9166666666666643</v>
      </c>
      <c r="G3" s="9">
        <f t="shared" ref="G3:G39" si="1">D3-B3</f>
        <v>10.799999999999997</v>
      </c>
      <c r="H3" s="9">
        <f t="shared" ref="H3:H39" si="2">E3-B3</f>
        <v>18.133333333333333</v>
      </c>
      <c r="I3" s="10">
        <f t="shared" ref="I3:I39" si="3">H3/B3</f>
        <v>0.38135296179460215</v>
      </c>
    </row>
    <row r="4" spans="1:23" x14ac:dyDescent="0.25">
      <c r="A4">
        <v>3</v>
      </c>
      <c r="B4" s="8">
        <v>32.083333333333336</v>
      </c>
      <c r="C4" s="8">
        <v>35.800000000000004</v>
      </c>
      <c r="D4" s="8">
        <v>43.583333333333336</v>
      </c>
      <c r="E4" s="8">
        <v>51.833333333333336</v>
      </c>
      <c r="F4" s="9">
        <f t="shared" si="0"/>
        <v>3.7166666666666686</v>
      </c>
      <c r="G4" s="9">
        <f t="shared" si="1"/>
        <v>11.5</v>
      </c>
      <c r="H4" s="9">
        <f t="shared" si="2"/>
        <v>19.75</v>
      </c>
      <c r="I4" s="10">
        <f t="shared" si="3"/>
        <v>0.61558441558441557</v>
      </c>
      <c r="J4" s="7"/>
      <c r="K4" s="7" t="s">
        <v>13</v>
      </c>
      <c r="L4" s="7" t="s">
        <v>14</v>
      </c>
      <c r="O4" s="7"/>
      <c r="P4" s="7" t="s">
        <v>13</v>
      </c>
      <c r="Q4" s="7" t="s">
        <v>15</v>
      </c>
      <c r="U4" s="7"/>
      <c r="V4" s="7" t="s">
        <v>13</v>
      </c>
      <c r="W4" s="7" t="s">
        <v>16</v>
      </c>
    </row>
    <row r="5" spans="1:23" x14ac:dyDescent="0.25">
      <c r="A5">
        <v>4</v>
      </c>
      <c r="B5" s="8">
        <v>38.81666666666667</v>
      </c>
      <c r="C5" s="8">
        <v>44.383333333333333</v>
      </c>
      <c r="D5" s="8">
        <v>51.116666666666674</v>
      </c>
      <c r="E5" s="8">
        <v>55.050000000000004</v>
      </c>
      <c r="F5" s="9">
        <f t="shared" si="0"/>
        <v>5.5666666666666629</v>
      </c>
      <c r="G5" s="9">
        <f t="shared" si="1"/>
        <v>12.300000000000004</v>
      </c>
      <c r="H5" s="9">
        <f t="shared" si="2"/>
        <v>16.233333333333334</v>
      </c>
      <c r="I5" s="10">
        <f t="shared" si="3"/>
        <v>0.41820523829969941</v>
      </c>
      <c r="J5" s="5" t="s">
        <v>26</v>
      </c>
      <c r="K5" s="5">
        <v>41.121315789473698</v>
      </c>
      <c r="L5" s="5">
        <v>45.900438596491242</v>
      </c>
      <c r="O5" s="5" t="s">
        <v>26</v>
      </c>
      <c r="P5" s="5">
        <v>41.121315789473698</v>
      </c>
      <c r="Q5" s="5">
        <v>53.356359649122801</v>
      </c>
      <c r="U5" s="5" t="s">
        <v>26</v>
      </c>
      <c r="V5" s="5">
        <v>41.121315789473698</v>
      </c>
      <c r="W5" s="5">
        <v>61.750877192982465</v>
      </c>
    </row>
    <row r="6" spans="1:23" x14ac:dyDescent="0.25">
      <c r="A6">
        <v>5</v>
      </c>
      <c r="B6" s="8">
        <v>35.85</v>
      </c>
      <c r="C6" s="8">
        <v>41.283333333333331</v>
      </c>
      <c r="D6" s="8">
        <v>46.04999999999999</v>
      </c>
      <c r="E6" s="8">
        <v>52.25</v>
      </c>
      <c r="F6" s="9">
        <f t="shared" si="0"/>
        <v>5.43333333333333</v>
      </c>
      <c r="G6" s="9">
        <f t="shared" si="1"/>
        <v>10.199999999999989</v>
      </c>
      <c r="H6" s="9">
        <f t="shared" si="2"/>
        <v>16.399999999999999</v>
      </c>
      <c r="I6" s="10">
        <f t="shared" si="3"/>
        <v>0.45746164574616449</v>
      </c>
      <c r="J6" s="5" t="s">
        <v>27</v>
      </c>
      <c r="K6" s="5">
        <v>26.919818342024833</v>
      </c>
      <c r="L6" s="5">
        <v>25.78985715978952</v>
      </c>
      <c r="O6" s="5" t="s">
        <v>27</v>
      </c>
      <c r="P6" s="5">
        <v>26.919818342024833</v>
      </c>
      <c r="Q6" s="5">
        <v>24.281371750039522</v>
      </c>
      <c r="U6" s="5" t="s">
        <v>27</v>
      </c>
      <c r="V6" s="5">
        <v>26.919818342024833</v>
      </c>
      <c r="W6" s="5">
        <v>28.995179389916242</v>
      </c>
    </row>
    <row r="7" spans="1:23" x14ac:dyDescent="0.25">
      <c r="A7">
        <v>6</v>
      </c>
      <c r="B7" s="8">
        <v>42.166666666666664</v>
      </c>
      <c r="C7" s="8">
        <v>45.449999999999996</v>
      </c>
      <c r="D7" s="8">
        <v>50.516666666666673</v>
      </c>
      <c r="E7" s="8">
        <v>58.633333333333333</v>
      </c>
      <c r="F7" s="9">
        <f t="shared" si="0"/>
        <v>3.2833333333333314</v>
      </c>
      <c r="G7" s="9">
        <f t="shared" si="1"/>
        <v>8.3500000000000085</v>
      </c>
      <c r="H7" s="9">
        <f t="shared" si="2"/>
        <v>16.466666666666669</v>
      </c>
      <c r="I7" s="10">
        <f t="shared" si="3"/>
        <v>0.39051383399209494</v>
      </c>
      <c r="J7" s="5" t="s">
        <v>28</v>
      </c>
      <c r="K7" s="5">
        <v>38</v>
      </c>
      <c r="L7" s="5">
        <v>38</v>
      </c>
      <c r="O7" s="5" t="s">
        <v>28</v>
      </c>
      <c r="P7" s="5">
        <v>38</v>
      </c>
      <c r="Q7" s="5">
        <v>38</v>
      </c>
      <c r="U7" s="5" t="s">
        <v>28</v>
      </c>
      <c r="V7" s="5">
        <v>38</v>
      </c>
      <c r="W7" s="5">
        <v>38</v>
      </c>
    </row>
    <row r="8" spans="1:23" x14ac:dyDescent="0.25">
      <c r="A8">
        <v>7</v>
      </c>
      <c r="B8" s="8">
        <v>37.159999999999997</v>
      </c>
      <c r="C8" s="8">
        <v>42.25</v>
      </c>
      <c r="D8" s="8">
        <v>49.933333333333337</v>
      </c>
      <c r="E8" s="8">
        <v>55.35</v>
      </c>
      <c r="F8" s="9">
        <f t="shared" si="0"/>
        <v>5.0900000000000034</v>
      </c>
      <c r="G8" s="9">
        <f t="shared" si="1"/>
        <v>12.773333333333341</v>
      </c>
      <c r="H8" s="9">
        <f t="shared" si="2"/>
        <v>18.190000000000005</v>
      </c>
      <c r="I8" s="10">
        <f t="shared" si="3"/>
        <v>0.48950484391819177</v>
      </c>
      <c r="J8" s="5" t="s">
        <v>29</v>
      </c>
      <c r="K8" s="5">
        <v>0.97631725351163345</v>
      </c>
      <c r="L8" s="5"/>
      <c r="O8" s="5" t="s">
        <v>29</v>
      </c>
      <c r="P8" s="5">
        <v>0.88604879324945163</v>
      </c>
      <c r="Q8" s="5"/>
      <c r="U8" s="5" t="s">
        <v>29</v>
      </c>
      <c r="V8" s="5">
        <v>0.8096100945616147</v>
      </c>
      <c r="W8" s="5"/>
    </row>
    <row r="9" spans="1:23" x14ac:dyDescent="0.25">
      <c r="A9">
        <v>8</v>
      </c>
      <c r="B9" s="8">
        <v>41.85</v>
      </c>
      <c r="C9" s="8">
        <v>46.050000000000004</v>
      </c>
      <c r="D9" s="8">
        <v>51.25</v>
      </c>
      <c r="E9" s="8">
        <v>60.083333333333336</v>
      </c>
      <c r="F9" s="9">
        <f t="shared" si="0"/>
        <v>4.2000000000000028</v>
      </c>
      <c r="G9" s="9">
        <f t="shared" si="1"/>
        <v>9.3999999999999986</v>
      </c>
      <c r="H9" s="9">
        <f t="shared" si="2"/>
        <v>18.233333333333334</v>
      </c>
      <c r="I9" s="10">
        <f t="shared" si="3"/>
        <v>0.43568299482277978</v>
      </c>
      <c r="J9" s="5" t="s">
        <v>30</v>
      </c>
      <c r="K9" s="5">
        <v>0</v>
      </c>
      <c r="L9" s="5"/>
      <c r="O9" s="5" t="s">
        <v>30</v>
      </c>
      <c r="P9" s="5">
        <v>0</v>
      </c>
      <c r="Q9" s="5"/>
      <c r="U9" s="5" t="s">
        <v>30</v>
      </c>
      <c r="V9" s="5">
        <v>0</v>
      </c>
      <c r="W9" s="5"/>
    </row>
    <row r="10" spans="1:23" x14ac:dyDescent="0.25">
      <c r="A10">
        <v>9</v>
      </c>
      <c r="B10" s="8">
        <v>47.283333333333331</v>
      </c>
      <c r="C10" s="8">
        <v>53.349999999999994</v>
      </c>
      <c r="D10" s="8">
        <v>60.283333333333331</v>
      </c>
      <c r="E10" s="8">
        <v>66.833333333333329</v>
      </c>
      <c r="F10" s="9">
        <f t="shared" si="0"/>
        <v>6.0666666666666629</v>
      </c>
      <c r="G10" s="9">
        <f t="shared" si="1"/>
        <v>13</v>
      </c>
      <c r="H10" s="9">
        <f t="shared" si="2"/>
        <v>19.549999999999997</v>
      </c>
      <c r="I10" s="10">
        <f t="shared" si="3"/>
        <v>0.41346492774057098</v>
      </c>
      <c r="J10" s="5" t="s">
        <v>31</v>
      </c>
      <c r="K10" s="5">
        <v>37</v>
      </c>
      <c r="L10" s="5"/>
      <c r="O10" s="5" t="s">
        <v>31</v>
      </c>
      <c r="P10" s="5">
        <v>37</v>
      </c>
      <c r="Q10" s="5"/>
      <c r="U10" s="5" t="s">
        <v>31</v>
      </c>
      <c r="V10" s="5">
        <v>37</v>
      </c>
      <c r="W10" s="5"/>
    </row>
    <row r="11" spans="1:23" x14ac:dyDescent="0.25">
      <c r="A11">
        <v>10</v>
      </c>
      <c r="B11" s="8">
        <v>41.716666666666669</v>
      </c>
      <c r="C11" s="8">
        <v>45.699999999999996</v>
      </c>
      <c r="D11" s="8">
        <v>53.25</v>
      </c>
      <c r="E11" s="8">
        <v>61.833333333333336</v>
      </c>
      <c r="F11" s="9">
        <f t="shared" si="0"/>
        <v>3.9833333333333272</v>
      </c>
      <c r="G11" s="9">
        <f t="shared" si="1"/>
        <v>11.533333333333331</v>
      </c>
      <c r="H11" s="9">
        <f t="shared" si="2"/>
        <v>20.116666666666667</v>
      </c>
      <c r="I11" s="10">
        <f t="shared" si="3"/>
        <v>0.4822213343987215</v>
      </c>
      <c r="J11" s="5" t="s">
        <v>32</v>
      </c>
      <c r="K11" s="5">
        <v>-26.244074030399823</v>
      </c>
      <c r="L11" s="5"/>
      <c r="O11" s="5" t="s">
        <v>32</v>
      </c>
      <c r="P11" s="5">
        <v>-31.064619684109374</v>
      </c>
      <c r="Q11" s="5"/>
      <c r="U11" s="5" t="s">
        <v>32</v>
      </c>
      <c r="V11" s="5">
        <v>-38.918881052541927</v>
      </c>
      <c r="W11" s="5"/>
    </row>
    <row r="12" spans="1:23" x14ac:dyDescent="0.25">
      <c r="A12">
        <v>11</v>
      </c>
      <c r="B12" s="8">
        <v>35.616666666666667</v>
      </c>
      <c r="C12" s="8">
        <v>42.166666666666664</v>
      </c>
      <c r="D12" s="8">
        <v>50.849999999999994</v>
      </c>
      <c r="E12" s="8">
        <v>59.383333333333326</v>
      </c>
      <c r="F12" s="9">
        <f t="shared" si="0"/>
        <v>6.5499999999999972</v>
      </c>
      <c r="G12" s="9">
        <f t="shared" si="1"/>
        <v>15.233333333333327</v>
      </c>
      <c r="H12" s="9">
        <f t="shared" si="2"/>
        <v>23.766666666666659</v>
      </c>
      <c r="I12" s="10">
        <f t="shared" si="3"/>
        <v>0.66729059429106197</v>
      </c>
      <c r="J12" s="5" t="s">
        <v>33</v>
      </c>
      <c r="K12" s="5">
        <v>8.16201475039212E-26</v>
      </c>
      <c r="L12" s="5"/>
      <c r="O12" s="5" t="s">
        <v>33</v>
      </c>
      <c r="P12" s="5">
        <v>2.0759331280226783E-28</v>
      </c>
      <c r="Q12" s="5"/>
      <c r="U12" s="5" t="s">
        <v>33</v>
      </c>
      <c r="V12" s="5">
        <v>6.3203286109289092E-32</v>
      </c>
      <c r="W12" s="5"/>
    </row>
    <row r="13" spans="1:23" x14ac:dyDescent="0.25">
      <c r="A13">
        <v>12</v>
      </c>
      <c r="B13" s="8">
        <v>32.166666666666664</v>
      </c>
      <c r="C13" s="8">
        <v>35.716666666666661</v>
      </c>
      <c r="D13" s="8">
        <v>43.333333333333336</v>
      </c>
      <c r="E13" s="8">
        <v>52.683333333333337</v>
      </c>
      <c r="F13" s="9">
        <f t="shared" si="0"/>
        <v>3.5499999999999972</v>
      </c>
      <c r="G13" s="9">
        <f t="shared" si="1"/>
        <v>11.166666666666671</v>
      </c>
      <c r="H13" s="9">
        <f t="shared" si="2"/>
        <v>20.516666666666673</v>
      </c>
      <c r="I13" s="10">
        <f t="shared" si="3"/>
        <v>0.63782383419689148</v>
      </c>
      <c r="J13" s="5" t="s">
        <v>34</v>
      </c>
      <c r="K13" s="5">
        <v>1.6870936195962629</v>
      </c>
      <c r="L13" s="5"/>
      <c r="O13" s="5" t="s">
        <v>34</v>
      </c>
      <c r="P13" s="5">
        <v>1.6870936195962629</v>
      </c>
      <c r="Q13" s="5"/>
      <c r="U13" s="5" t="s">
        <v>34</v>
      </c>
      <c r="V13" s="5">
        <v>1.6870936195962629</v>
      </c>
      <c r="W13" s="5"/>
    </row>
    <row r="14" spans="1:23" x14ac:dyDescent="0.25">
      <c r="A14">
        <v>13</v>
      </c>
      <c r="B14" s="8">
        <v>37.1</v>
      </c>
      <c r="C14" s="8">
        <v>42.300000000000004</v>
      </c>
      <c r="D14" s="8">
        <v>49.583333333333336</v>
      </c>
      <c r="E14" s="8">
        <v>56.333333333333336</v>
      </c>
      <c r="F14" s="9">
        <f t="shared" si="0"/>
        <v>5.2000000000000028</v>
      </c>
      <c r="G14" s="9">
        <f t="shared" si="1"/>
        <v>12.483333333333334</v>
      </c>
      <c r="H14" s="9">
        <f t="shared" si="2"/>
        <v>19.233333333333334</v>
      </c>
      <c r="I14" s="10">
        <f t="shared" si="3"/>
        <v>0.51841868823000903</v>
      </c>
      <c r="J14" s="5" t="s">
        <v>35</v>
      </c>
      <c r="K14" s="5">
        <v>1.632402950078424E-25</v>
      </c>
      <c r="L14" s="5"/>
      <c r="O14" s="5" t="s">
        <v>35</v>
      </c>
      <c r="P14" s="5">
        <v>4.1518662560453566E-28</v>
      </c>
      <c r="Q14" s="5"/>
      <c r="U14" s="5" t="s">
        <v>35</v>
      </c>
      <c r="V14" s="5">
        <v>1.2640657221857818E-31</v>
      </c>
      <c r="W14" s="5"/>
    </row>
    <row r="15" spans="1:23" ht="15.75" thickBot="1" x14ac:dyDescent="0.3">
      <c r="A15">
        <v>14</v>
      </c>
      <c r="B15" s="8">
        <v>42.116666666666674</v>
      </c>
      <c r="C15" s="8">
        <v>47.85</v>
      </c>
      <c r="D15" s="8">
        <v>54.15</v>
      </c>
      <c r="E15" s="8">
        <v>62.633333333333333</v>
      </c>
      <c r="F15" s="9">
        <f t="shared" si="0"/>
        <v>5.7333333333333272</v>
      </c>
      <c r="G15" s="9">
        <f t="shared" si="1"/>
        <v>12.033333333333324</v>
      </c>
      <c r="H15" s="9">
        <f t="shared" si="2"/>
        <v>20.516666666666659</v>
      </c>
      <c r="I15" s="10">
        <f t="shared" si="3"/>
        <v>0.48713889988128189</v>
      </c>
      <c r="J15" s="6" t="s">
        <v>36</v>
      </c>
      <c r="K15" s="6">
        <v>2.026192463029111</v>
      </c>
      <c r="L15" s="6"/>
      <c r="O15" s="6" t="s">
        <v>36</v>
      </c>
      <c r="P15" s="6">
        <v>2.026192463029111</v>
      </c>
      <c r="Q15" s="6"/>
      <c r="U15" s="6" t="s">
        <v>36</v>
      </c>
      <c r="V15" s="6">
        <v>2.026192463029111</v>
      </c>
      <c r="W15" s="6"/>
    </row>
    <row r="16" spans="1:23" x14ac:dyDescent="0.25">
      <c r="A16">
        <v>15</v>
      </c>
      <c r="B16" s="8">
        <v>45.199999999999996</v>
      </c>
      <c r="C16" s="8">
        <v>49.983333333333327</v>
      </c>
      <c r="D16" s="8">
        <v>57.516666666666673</v>
      </c>
      <c r="E16" s="8">
        <v>67.016666666666666</v>
      </c>
      <c r="F16" s="9">
        <f t="shared" si="0"/>
        <v>4.7833333333333314</v>
      </c>
      <c r="G16" s="9">
        <f t="shared" si="1"/>
        <v>12.316666666666677</v>
      </c>
      <c r="H16" s="9">
        <f t="shared" si="2"/>
        <v>21.81666666666667</v>
      </c>
      <c r="I16" s="10">
        <f t="shared" si="3"/>
        <v>0.48266961651917417</v>
      </c>
    </row>
    <row r="17" spans="1:11" x14ac:dyDescent="0.25">
      <c r="A17">
        <v>16</v>
      </c>
      <c r="B17" s="8">
        <v>47.416666666666664</v>
      </c>
      <c r="C17" s="8">
        <v>52.516666666666673</v>
      </c>
      <c r="D17" s="8">
        <v>57.216666666666661</v>
      </c>
      <c r="E17" s="8">
        <v>65.350000000000009</v>
      </c>
      <c r="F17" s="9">
        <f t="shared" si="0"/>
        <v>5.1000000000000085</v>
      </c>
      <c r="G17" s="9">
        <f t="shared" si="1"/>
        <v>9.7999999999999972</v>
      </c>
      <c r="H17" s="9">
        <f t="shared" si="2"/>
        <v>17.933333333333344</v>
      </c>
      <c r="I17" s="10">
        <f t="shared" si="3"/>
        <v>0.37820738137082627</v>
      </c>
    </row>
    <row r="18" spans="1:11" x14ac:dyDescent="0.25">
      <c r="A18">
        <v>17</v>
      </c>
      <c r="B18" s="8">
        <v>37.416666666666664</v>
      </c>
      <c r="C18" s="8">
        <v>42.800000000000004</v>
      </c>
      <c r="D18" s="8">
        <v>53.133333333333333</v>
      </c>
      <c r="E18" s="8">
        <v>62.849999999999994</v>
      </c>
      <c r="F18" s="9">
        <f t="shared" si="0"/>
        <v>5.38333333333334</v>
      </c>
      <c r="G18" s="9">
        <f t="shared" si="1"/>
        <v>15.716666666666669</v>
      </c>
      <c r="H18" s="9">
        <f t="shared" si="2"/>
        <v>25.43333333333333</v>
      </c>
      <c r="I18" s="10">
        <f t="shared" si="3"/>
        <v>0.67973273942093537</v>
      </c>
      <c r="J18" s="5"/>
      <c r="K18" s="5"/>
    </row>
    <row r="19" spans="1:11" x14ac:dyDescent="0.25">
      <c r="A19">
        <v>18</v>
      </c>
      <c r="B19" s="8">
        <v>42.15</v>
      </c>
      <c r="C19" s="8">
        <v>47.766666666666659</v>
      </c>
      <c r="D19" s="8">
        <v>58.35</v>
      </c>
      <c r="E19" s="8">
        <v>68.083333333333329</v>
      </c>
      <c r="F19" s="9">
        <f t="shared" si="0"/>
        <v>5.61666666666666</v>
      </c>
      <c r="G19" s="9">
        <f t="shared" si="1"/>
        <v>16.200000000000003</v>
      </c>
      <c r="H19" s="9">
        <f t="shared" si="2"/>
        <v>25.93333333333333</v>
      </c>
      <c r="I19" s="10">
        <f t="shared" si="3"/>
        <v>0.61526294978252272</v>
      </c>
      <c r="J19" s="11"/>
      <c r="K19" s="5"/>
    </row>
    <row r="20" spans="1:11" x14ac:dyDescent="0.25">
      <c r="A20">
        <v>19</v>
      </c>
      <c r="B20" s="8">
        <v>46.199999999999996</v>
      </c>
      <c r="C20" s="8">
        <v>49.583333333333336</v>
      </c>
      <c r="D20" s="8">
        <v>57.216666666666669</v>
      </c>
      <c r="E20" s="8">
        <v>66.033333333333346</v>
      </c>
      <c r="F20" s="9">
        <f t="shared" si="0"/>
        <v>3.38333333333334</v>
      </c>
      <c r="G20" s="9">
        <f t="shared" si="1"/>
        <v>11.016666666666673</v>
      </c>
      <c r="H20" s="9">
        <f t="shared" si="2"/>
        <v>19.83333333333335</v>
      </c>
      <c r="I20" s="10">
        <f t="shared" si="3"/>
        <v>0.42929292929292967</v>
      </c>
      <c r="J20" s="5"/>
      <c r="K20" s="5"/>
    </row>
    <row r="21" spans="1:11" x14ac:dyDescent="0.25">
      <c r="A21">
        <v>20</v>
      </c>
      <c r="B21" s="8">
        <v>41.650000000000006</v>
      </c>
      <c r="C21" s="8">
        <v>48.383333333333326</v>
      </c>
      <c r="D21" s="8">
        <v>61.833333333333336</v>
      </c>
      <c r="E21" s="8">
        <v>71.8</v>
      </c>
      <c r="F21" s="9">
        <f t="shared" si="0"/>
        <v>6.7333333333333201</v>
      </c>
      <c r="G21" s="9">
        <f t="shared" si="1"/>
        <v>20.18333333333333</v>
      </c>
      <c r="H21" s="9">
        <f t="shared" si="2"/>
        <v>30.149999999999991</v>
      </c>
      <c r="I21" s="10">
        <f t="shared" si="3"/>
        <v>0.72388955582232861</v>
      </c>
      <c r="J21" s="5"/>
      <c r="K21" s="5"/>
    </row>
    <row r="22" spans="1:11" x14ac:dyDescent="0.25">
      <c r="A22">
        <v>21</v>
      </c>
      <c r="B22" s="8">
        <v>37.25</v>
      </c>
      <c r="C22" s="8">
        <v>42.333333333333336</v>
      </c>
      <c r="D22" s="8">
        <v>51.65</v>
      </c>
      <c r="E22" s="8">
        <v>59.93333333333333</v>
      </c>
      <c r="F22" s="9">
        <f t="shared" si="0"/>
        <v>5.0833333333333357</v>
      </c>
      <c r="G22" s="9">
        <f t="shared" si="1"/>
        <v>14.399999999999999</v>
      </c>
      <c r="H22" s="9">
        <f t="shared" si="2"/>
        <v>22.68333333333333</v>
      </c>
      <c r="I22" s="10">
        <f t="shared" si="3"/>
        <v>0.60894854586129743</v>
      </c>
    </row>
    <row r="23" spans="1:11" x14ac:dyDescent="0.25">
      <c r="A23">
        <v>22</v>
      </c>
      <c r="B23" s="8">
        <v>42.683333333333337</v>
      </c>
      <c r="C23" s="8">
        <v>45.699999999999996</v>
      </c>
      <c r="D23" s="8">
        <v>52.616666666666667</v>
      </c>
      <c r="E23" s="8">
        <v>62</v>
      </c>
      <c r="F23" s="9">
        <f t="shared" si="0"/>
        <v>3.0166666666666586</v>
      </c>
      <c r="G23" s="9">
        <f t="shared" si="1"/>
        <v>9.93333333333333</v>
      </c>
      <c r="H23" s="9">
        <f t="shared" si="2"/>
        <v>19.316666666666663</v>
      </c>
      <c r="I23" s="10">
        <f t="shared" si="3"/>
        <v>0.45255759468957424</v>
      </c>
    </row>
    <row r="24" spans="1:11" x14ac:dyDescent="0.25">
      <c r="A24">
        <v>23</v>
      </c>
      <c r="B24" s="8">
        <v>48.199999999999996</v>
      </c>
      <c r="C24" s="8">
        <v>52.833333333333336</v>
      </c>
      <c r="D24" s="8">
        <v>58.366666666666667</v>
      </c>
      <c r="E24" s="8">
        <v>66.433333333333337</v>
      </c>
      <c r="F24" s="9">
        <f t="shared" si="0"/>
        <v>4.63333333333334</v>
      </c>
      <c r="G24" s="9">
        <f t="shared" si="1"/>
        <v>10.166666666666671</v>
      </c>
      <c r="H24" s="9">
        <f t="shared" si="2"/>
        <v>18.233333333333341</v>
      </c>
      <c r="I24" s="10">
        <f t="shared" si="3"/>
        <v>0.37828492392807767</v>
      </c>
    </row>
    <row r="25" spans="1:11" x14ac:dyDescent="0.25">
      <c r="A25">
        <v>24</v>
      </c>
      <c r="B25" s="8">
        <v>48.300000000000004</v>
      </c>
      <c r="C25" s="8">
        <v>52.316666666666663</v>
      </c>
      <c r="D25" s="8">
        <v>59.758333333333333</v>
      </c>
      <c r="E25" s="8">
        <v>68.55</v>
      </c>
      <c r="F25" s="9">
        <f t="shared" si="0"/>
        <v>4.0166666666666586</v>
      </c>
      <c r="G25" s="9">
        <f t="shared" si="1"/>
        <v>11.458333333333329</v>
      </c>
      <c r="H25" s="9">
        <f t="shared" si="2"/>
        <v>20.249999999999993</v>
      </c>
      <c r="I25" s="10">
        <f t="shared" si="3"/>
        <v>0.41925465838509296</v>
      </c>
    </row>
    <row r="26" spans="1:11" x14ac:dyDescent="0.25">
      <c r="A26">
        <v>25</v>
      </c>
      <c r="B26" s="8">
        <v>32.85</v>
      </c>
      <c r="C26" s="8">
        <v>38.25</v>
      </c>
      <c r="D26" s="8">
        <v>48.550000000000004</v>
      </c>
      <c r="E26" s="8">
        <v>57.566666666666663</v>
      </c>
      <c r="F26" s="9">
        <f t="shared" si="0"/>
        <v>5.3999999999999986</v>
      </c>
      <c r="G26" s="9">
        <f t="shared" si="1"/>
        <v>15.700000000000003</v>
      </c>
      <c r="H26" s="9">
        <f t="shared" si="2"/>
        <v>24.716666666666661</v>
      </c>
      <c r="I26" s="10">
        <f t="shared" si="3"/>
        <v>0.7524099441907659</v>
      </c>
    </row>
    <row r="27" spans="1:11" x14ac:dyDescent="0.25">
      <c r="A27">
        <v>26</v>
      </c>
      <c r="B27" s="8">
        <v>35.1</v>
      </c>
      <c r="C27" s="8">
        <v>39.966666666666669</v>
      </c>
      <c r="D27" s="8">
        <v>49.533333333333331</v>
      </c>
      <c r="E27" s="8">
        <v>62.133333333333333</v>
      </c>
      <c r="F27" s="9">
        <f t="shared" si="0"/>
        <v>4.8666666666666671</v>
      </c>
      <c r="G27" s="9">
        <f t="shared" si="1"/>
        <v>14.43333333333333</v>
      </c>
      <c r="H27" s="9">
        <f t="shared" si="2"/>
        <v>27.033333333333331</v>
      </c>
      <c r="I27" s="10">
        <f t="shared" si="3"/>
        <v>0.77018043684710347</v>
      </c>
    </row>
    <row r="28" spans="1:11" x14ac:dyDescent="0.25">
      <c r="A28">
        <v>27</v>
      </c>
      <c r="B28" s="8">
        <v>42.15</v>
      </c>
      <c r="C28" s="8">
        <v>48.199999999999996</v>
      </c>
      <c r="D28" s="8">
        <v>53.433333333333337</v>
      </c>
      <c r="E28" s="8">
        <v>64.399999999999991</v>
      </c>
      <c r="F28" s="9">
        <f t="shared" si="0"/>
        <v>6.0499999999999972</v>
      </c>
      <c r="G28" s="9">
        <f t="shared" si="1"/>
        <v>11.283333333333339</v>
      </c>
      <c r="H28" s="9">
        <f t="shared" si="2"/>
        <v>22.249999999999993</v>
      </c>
      <c r="I28" s="10">
        <f t="shared" si="3"/>
        <v>0.52787663107947791</v>
      </c>
    </row>
    <row r="29" spans="1:11" x14ac:dyDescent="0.25">
      <c r="A29">
        <v>28</v>
      </c>
      <c r="B29" s="8">
        <v>35.183333333333337</v>
      </c>
      <c r="C29" s="8">
        <v>40.916666666666664</v>
      </c>
      <c r="D29" s="8">
        <v>47.533333333333331</v>
      </c>
      <c r="E29" s="8">
        <v>57.183333333333337</v>
      </c>
      <c r="F29" s="9">
        <f t="shared" si="0"/>
        <v>5.7333333333333272</v>
      </c>
      <c r="G29" s="9">
        <f t="shared" si="1"/>
        <v>12.349999999999994</v>
      </c>
      <c r="H29" s="9">
        <f t="shared" si="2"/>
        <v>22</v>
      </c>
      <c r="I29" s="10">
        <f t="shared" si="3"/>
        <v>0.62529606821411643</v>
      </c>
    </row>
    <row r="30" spans="1:11" x14ac:dyDescent="0.25">
      <c r="A30">
        <v>29</v>
      </c>
      <c r="B30" s="8">
        <v>45.533333333333331</v>
      </c>
      <c r="C30" s="8">
        <v>51.199999999999996</v>
      </c>
      <c r="D30" s="8">
        <v>56.116666666666667</v>
      </c>
      <c r="E30" s="8">
        <v>62.233333333333341</v>
      </c>
      <c r="F30" s="9">
        <f t="shared" si="0"/>
        <v>5.6666666666666643</v>
      </c>
      <c r="G30" s="9">
        <f t="shared" si="1"/>
        <v>10.583333333333336</v>
      </c>
      <c r="H30" s="9">
        <f t="shared" si="2"/>
        <v>16.70000000000001</v>
      </c>
      <c r="I30" s="10">
        <f t="shared" si="3"/>
        <v>0.36676427525622279</v>
      </c>
    </row>
    <row r="31" spans="1:11" x14ac:dyDescent="0.25">
      <c r="A31">
        <v>30</v>
      </c>
      <c r="B31" s="8">
        <v>34.066666666666663</v>
      </c>
      <c r="C31" s="8">
        <v>38.416666666666664</v>
      </c>
      <c r="D31" s="8">
        <v>45.199999999999996</v>
      </c>
      <c r="E31" s="8">
        <v>51.916666666666664</v>
      </c>
      <c r="F31" s="9">
        <f t="shared" si="0"/>
        <v>4.3500000000000014</v>
      </c>
      <c r="G31" s="9">
        <f t="shared" si="1"/>
        <v>11.133333333333333</v>
      </c>
      <c r="H31" s="9">
        <f t="shared" si="2"/>
        <v>17.850000000000001</v>
      </c>
      <c r="I31" s="10">
        <f t="shared" si="3"/>
        <v>0.52397260273972612</v>
      </c>
    </row>
    <row r="32" spans="1:11" x14ac:dyDescent="0.25">
      <c r="A32">
        <v>31</v>
      </c>
      <c r="B32" s="8">
        <v>49.416666666666664</v>
      </c>
      <c r="C32" s="8">
        <v>52.516666666666673</v>
      </c>
      <c r="D32" s="8">
        <v>57.983333333333327</v>
      </c>
      <c r="E32" s="8">
        <v>66.933333333333337</v>
      </c>
      <c r="F32" s="9">
        <f t="shared" si="0"/>
        <v>3.1000000000000085</v>
      </c>
      <c r="G32" s="9">
        <f t="shared" si="1"/>
        <v>8.5666666666666629</v>
      </c>
      <c r="H32" s="9">
        <f t="shared" si="2"/>
        <v>17.516666666666673</v>
      </c>
      <c r="I32" s="10">
        <f t="shared" si="3"/>
        <v>0.35446880269814518</v>
      </c>
    </row>
    <row r="33" spans="1:9" x14ac:dyDescent="0.25">
      <c r="A33">
        <v>33</v>
      </c>
      <c r="B33" s="8">
        <v>42.15</v>
      </c>
      <c r="C33" s="8">
        <v>45.883333333333326</v>
      </c>
      <c r="D33" s="8">
        <v>52.25</v>
      </c>
      <c r="E33" s="8">
        <v>61.533333333333331</v>
      </c>
      <c r="F33" s="9">
        <f t="shared" si="0"/>
        <v>3.7333333333333272</v>
      </c>
      <c r="G33" s="9">
        <f t="shared" si="1"/>
        <v>10.100000000000001</v>
      </c>
      <c r="H33" s="9">
        <f t="shared" si="2"/>
        <v>19.383333333333333</v>
      </c>
      <c r="I33" s="10">
        <f t="shared" si="3"/>
        <v>0.4598655595096876</v>
      </c>
    </row>
    <row r="34" spans="1:9" x14ac:dyDescent="0.25">
      <c r="A34">
        <v>34</v>
      </c>
      <c r="B34" s="8">
        <v>45.699999999999996</v>
      </c>
      <c r="C34" s="8">
        <v>49.783333333333331</v>
      </c>
      <c r="D34" s="8">
        <v>56.300000000000004</v>
      </c>
      <c r="E34" s="8">
        <v>61.966666666666669</v>
      </c>
      <c r="F34" s="9">
        <f t="shared" si="0"/>
        <v>4.0833333333333357</v>
      </c>
      <c r="G34" s="9">
        <f t="shared" si="1"/>
        <v>10.600000000000009</v>
      </c>
      <c r="H34" s="9">
        <f t="shared" si="2"/>
        <v>16.266666666666673</v>
      </c>
      <c r="I34" s="10">
        <f t="shared" si="3"/>
        <v>0.35594456601021168</v>
      </c>
    </row>
    <row r="35" spans="1:9" x14ac:dyDescent="0.25">
      <c r="A35">
        <v>36</v>
      </c>
      <c r="B35" s="8">
        <v>45.300000000000004</v>
      </c>
      <c r="C35" s="8">
        <v>51.06666666666667</v>
      </c>
      <c r="D35" s="8">
        <v>58.550000000000004</v>
      </c>
      <c r="E35" s="8">
        <v>68.366666666666674</v>
      </c>
      <c r="F35" s="9">
        <f t="shared" si="0"/>
        <v>5.7666666666666657</v>
      </c>
      <c r="G35" s="9">
        <f t="shared" si="1"/>
        <v>13.25</v>
      </c>
      <c r="H35" s="9">
        <f t="shared" si="2"/>
        <v>23.06666666666667</v>
      </c>
      <c r="I35" s="10">
        <f t="shared" si="3"/>
        <v>0.50919793966151583</v>
      </c>
    </row>
    <row r="36" spans="1:9" x14ac:dyDescent="0.25">
      <c r="A36">
        <v>37</v>
      </c>
      <c r="B36" s="8">
        <v>41.133333333333333</v>
      </c>
      <c r="C36" s="8">
        <v>47.916666666666664</v>
      </c>
      <c r="D36" s="8">
        <v>55.683333333333337</v>
      </c>
      <c r="E36" s="8">
        <v>64.850000000000009</v>
      </c>
      <c r="F36" s="9">
        <f t="shared" si="0"/>
        <v>6.7833333333333314</v>
      </c>
      <c r="G36" s="9">
        <f t="shared" si="1"/>
        <v>14.550000000000004</v>
      </c>
      <c r="H36" s="9">
        <f t="shared" si="2"/>
        <v>23.716666666666676</v>
      </c>
      <c r="I36" s="10">
        <f t="shared" si="3"/>
        <v>0.57658022690437627</v>
      </c>
    </row>
    <row r="37" spans="1:9" x14ac:dyDescent="0.25">
      <c r="A37">
        <v>38</v>
      </c>
      <c r="B37" s="8">
        <v>48.816666666666663</v>
      </c>
      <c r="C37" s="8">
        <v>51.5</v>
      </c>
      <c r="D37" s="8">
        <v>62.050000000000004</v>
      </c>
      <c r="E37" s="8">
        <v>71.8</v>
      </c>
      <c r="F37" s="9">
        <f t="shared" si="0"/>
        <v>2.6833333333333371</v>
      </c>
      <c r="G37" s="9">
        <f t="shared" si="1"/>
        <v>13.233333333333341</v>
      </c>
      <c r="H37" s="9">
        <f t="shared" si="2"/>
        <v>22.983333333333334</v>
      </c>
      <c r="I37" s="10">
        <f t="shared" si="3"/>
        <v>0.47080914988050537</v>
      </c>
    </row>
    <row r="38" spans="1:9" x14ac:dyDescent="0.25">
      <c r="A38">
        <v>39</v>
      </c>
      <c r="B38" s="8">
        <v>33.300000000000004</v>
      </c>
      <c r="C38" s="8">
        <v>38.43333333333333</v>
      </c>
      <c r="D38" s="8">
        <v>48.366666666666667</v>
      </c>
      <c r="E38" s="8">
        <v>56.316666666666663</v>
      </c>
      <c r="F38" s="9">
        <f t="shared" si="0"/>
        <v>5.1333333333333258</v>
      </c>
      <c r="G38" s="9">
        <f t="shared" si="1"/>
        <v>15.066666666666663</v>
      </c>
      <c r="H38" s="9">
        <f t="shared" si="2"/>
        <v>23.016666666666659</v>
      </c>
      <c r="I38" s="10">
        <f t="shared" si="3"/>
        <v>0.69119119119119088</v>
      </c>
    </row>
    <row r="39" spans="1:9" x14ac:dyDescent="0.25">
      <c r="A39">
        <v>40</v>
      </c>
      <c r="B39" s="8">
        <v>42.133333333333333</v>
      </c>
      <c r="C39" s="8">
        <v>44.633333333333333</v>
      </c>
      <c r="D39" s="8">
        <v>52.016666666666673</v>
      </c>
      <c r="E39" s="8">
        <v>61.566666666666663</v>
      </c>
      <c r="F39" s="9">
        <f t="shared" si="0"/>
        <v>2.5</v>
      </c>
      <c r="G39" s="9">
        <f t="shared" si="1"/>
        <v>9.88333333333334</v>
      </c>
      <c r="H39" s="9">
        <f t="shared" si="2"/>
        <v>19.43333333333333</v>
      </c>
      <c r="I39" s="10">
        <f t="shared" si="3"/>
        <v>0.46123417721518978</v>
      </c>
    </row>
    <row r="40" spans="1:9" x14ac:dyDescent="0.25">
      <c r="B40" t="s">
        <v>75</v>
      </c>
      <c r="F40" s="9">
        <f>AVERAGE(F2:F39)</f>
        <v>4.7791228070175418</v>
      </c>
      <c r="G40" s="9">
        <f>AVERAGE(G2:G39)</f>
        <v>12.235043859649128</v>
      </c>
      <c r="H40" s="9">
        <f>AVERAGE(H2:H39)</f>
        <v>20.629561403508774</v>
      </c>
      <c r="I40" s="10">
        <f>AVERAGE(I2:I39)</f>
        <v>0.51236608581686272</v>
      </c>
    </row>
    <row r="41" spans="1:9" x14ac:dyDescent="0.25">
      <c r="I41" s="11"/>
    </row>
    <row r="42" spans="1:9" x14ac:dyDescent="0.25">
      <c r="I42" s="11"/>
    </row>
    <row r="43" spans="1:9" x14ac:dyDescent="0.25">
      <c r="I43" s="11"/>
    </row>
    <row r="44" spans="1:9" x14ac:dyDescent="0.25">
      <c r="I44" s="11"/>
    </row>
    <row r="45" spans="1:9" x14ac:dyDescent="0.25">
      <c r="I45" s="11"/>
    </row>
    <row r="46" spans="1:9" x14ac:dyDescent="0.25">
      <c r="I46" s="11"/>
    </row>
    <row r="47" spans="1:9" ht="15.75" thickBot="1" x14ac:dyDescent="0.3">
      <c r="I47" s="12"/>
    </row>
    <row r="50" spans="9:9" ht="15.75" thickBot="1" x14ac:dyDescent="0.3"/>
    <row r="51" spans="9:9" x14ac:dyDescent="0.25">
      <c r="I51" s="13"/>
    </row>
    <row r="52" spans="9:9" x14ac:dyDescent="0.25">
      <c r="I52" s="11"/>
    </row>
    <row r="53" spans="9:9" x14ac:dyDescent="0.25">
      <c r="I53" s="11"/>
    </row>
    <row r="54" spans="9:9" x14ac:dyDescent="0.25">
      <c r="I54" s="11"/>
    </row>
    <row r="55" spans="9:9" x14ac:dyDescent="0.25">
      <c r="I55" s="11"/>
    </row>
    <row r="56" spans="9:9" ht="15.75" thickBot="1" x14ac:dyDescent="0.3">
      <c r="I56"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workbookViewId="0">
      <selection activeCell="J62" sqref="J62"/>
    </sheetView>
  </sheetViews>
  <sheetFormatPr defaultRowHeight="15" x14ac:dyDescent="0.25"/>
  <cols>
    <col min="1" max="1" width="13.140625" style="14" customWidth="1"/>
    <col min="2" max="2" width="17.140625" style="14" customWidth="1"/>
    <col min="3" max="3" width="15.7109375" style="14" customWidth="1"/>
    <col min="4" max="4" width="12.85546875" style="14" customWidth="1"/>
    <col min="5" max="5" width="9.140625" style="14"/>
    <col min="6" max="6" width="10.28515625" style="14" customWidth="1"/>
    <col min="7" max="7" width="13" style="14" customWidth="1"/>
    <col min="8" max="8" width="11.5703125" style="14" customWidth="1"/>
    <col min="9" max="9" width="13.42578125" style="14" customWidth="1"/>
    <col min="10" max="10" width="9.140625" style="14"/>
    <col min="11" max="11" width="10.42578125" style="14" customWidth="1"/>
    <col min="12" max="12" width="11.28515625" style="14" customWidth="1"/>
    <col min="13" max="13" width="12.85546875" style="14" customWidth="1"/>
    <col min="14" max="14" width="13.42578125" style="14" customWidth="1"/>
    <col min="15" max="15" width="11.85546875" style="14" customWidth="1"/>
    <col min="16" max="16" width="13.85546875" style="14" customWidth="1"/>
    <col min="17" max="16384" width="9.140625" style="14"/>
  </cols>
  <sheetData>
    <row r="1" spans="1:14" ht="21" x14ac:dyDescent="0.25">
      <c r="A1" s="26" t="s">
        <v>53</v>
      </c>
      <c r="B1" s="26"/>
    </row>
    <row r="3" spans="1:14" x14ac:dyDescent="0.25">
      <c r="A3" s="15" t="s">
        <v>48</v>
      </c>
      <c r="B3" s="15"/>
      <c r="C3" s="15"/>
      <c r="D3" s="15"/>
      <c r="F3" s="15" t="s">
        <v>52</v>
      </c>
      <c r="G3" s="15"/>
      <c r="H3" s="15"/>
      <c r="I3" s="15"/>
    </row>
    <row r="4" spans="1:14" x14ac:dyDescent="0.25">
      <c r="A4" s="23" t="s">
        <v>50</v>
      </c>
      <c r="B4" s="23" t="s">
        <v>42</v>
      </c>
      <c r="C4" s="23" t="s">
        <v>51</v>
      </c>
      <c r="D4" s="23" t="s">
        <v>43</v>
      </c>
      <c r="E4" s="23"/>
      <c r="F4" s="23" t="s">
        <v>49</v>
      </c>
      <c r="G4" s="23" t="s">
        <v>42</v>
      </c>
      <c r="H4" s="23" t="s">
        <v>51</v>
      </c>
      <c r="I4" s="23" t="s">
        <v>43</v>
      </c>
      <c r="M4" s="24"/>
      <c r="N4" s="21"/>
    </row>
    <row r="5" spans="1:14" x14ac:dyDescent="0.25">
      <c r="A5" s="23" t="s">
        <v>44</v>
      </c>
      <c r="B5" s="19">
        <v>52.880263157894738</v>
      </c>
      <c r="C5" s="19">
        <v>29.324372901849848</v>
      </c>
      <c r="D5" s="20">
        <v>0</v>
      </c>
      <c r="E5" s="18"/>
      <c r="F5" s="23" t="s">
        <v>44</v>
      </c>
      <c r="G5" s="19">
        <v>41.121315789473698</v>
      </c>
      <c r="H5" s="19">
        <v>26.919818342024833</v>
      </c>
      <c r="I5" s="20">
        <v>0</v>
      </c>
      <c r="M5" s="25"/>
      <c r="N5" s="22"/>
    </row>
    <row r="6" spans="1:14" x14ac:dyDescent="0.25">
      <c r="A6" s="23" t="s">
        <v>45</v>
      </c>
      <c r="B6" s="19">
        <v>53.899868421052624</v>
      </c>
      <c r="C6" s="19">
        <v>27.671289847083923</v>
      </c>
      <c r="D6" s="20">
        <v>1.0196052631578938</v>
      </c>
      <c r="E6" s="18"/>
      <c r="F6" s="23" t="s">
        <v>45</v>
      </c>
      <c r="G6" s="19">
        <v>45.900438596491242</v>
      </c>
      <c r="H6" s="19">
        <v>25.78985715978952</v>
      </c>
      <c r="I6" s="20">
        <v>4.7791228070175418</v>
      </c>
      <c r="M6" s="24"/>
      <c r="N6" s="21"/>
    </row>
    <row r="7" spans="1:14" x14ac:dyDescent="0.25">
      <c r="A7" s="23" t="s">
        <v>46</v>
      </c>
      <c r="B7" s="19">
        <v>54.366973684210528</v>
      </c>
      <c r="C7" s="19">
        <v>28.878660188477955</v>
      </c>
      <c r="D7" s="20">
        <v>1.4867105263157894</v>
      </c>
      <c r="E7" s="18"/>
      <c r="F7" s="23" t="s">
        <v>46</v>
      </c>
      <c r="G7" s="19">
        <v>53.356359649122801</v>
      </c>
      <c r="H7" s="19">
        <v>24.281371750039522</v>
      </c>
      <c r="I7" s="20">
        <v>12.235043859649128</v>
      </c>
      <c r="M7" s="25"/>
      <c r="N7" s="22"/>
    </row>
    <row r="8" spans="1:14" x14ac:dyDescent="0.25">
      <c r="A8" s="23" t="s">
        <v>47</v>
      </c>
      <c r="B8" s="19">
        <v>55.352763157894742</v>
      </c>
      <c r="C8" s="19">
        <v>27.870891482930297</v>
      </c>
      <c r="D8" s="20">
        <v>2.4724999999999997</v>
      </c>
      <c r="E8" s="18"/>
      <c r="F8" s="23" t="s">
        <v>47</v>
      </c>
      <c r="G8" s="19">
        <v>61.750877192982465</v>
      </c>
      <c r="H8" s="19">
        <v>28.995179389916242</v>
      </c>
      <c r="I8" s="20">
        <v>20.629561403508774</v>
      </c>
    </row>
    <row r="9" spans="1:14" x14ac:dyDescent="0.25">
      <c r="A9" s="23"/>
      <c r="B9" s="19"/>
      <c r="C9" s="19"/>
      <c r="D9" s="20"/>
      <c r="E9" s="18"/>
      <c r="F9" s="23"/>
      <c r="G9" s="19"/>
      <c r="H9" s="19"/>
      <c r="I9" s="20"/>
    </row>
    <row r="10" spans="1:14" x14ac:dyDescent="0.25">
      <c r="A10" s="23"/>
      <c r="B10" s="19"/>
      <c r="C10" s="19"/>
      <c r="D10" s="20"/>
      <c r="E10" s="18"/>
      <c r="F10" s="23"/>
      <c r="G10" s="19"/>
      <c r="H10" s="19"/>
      <c r="I10" s="20"/>
    </row>
    <row r="11" spans="1:14" ht="21" x14ac:dyDescent="0.25">
      <c r="A11" s="26" t="s">
        <v>70</v>
      </c>
      <c r="B11" s="26"/>
      <c r="C11" s="19"/>
      <c r="D11" s="20"/>
      <c r="E11" s="18"/>
      <c r="F11" s="23"/>
      <c r="G11" s="19"/>
      <c r="H11" s="19"/>
      <c r="I11" s="20"/>
    </row>
    <row r="12" spans="1:14" x14ac:dyDescent="0.25">
      <c r="A12" s="23"/>
      <c r="B12" s="19"/>
      <c r="C12" s="19"/>
      <c r="D12" s="20"/>
      <c r="E12" s="18"/>
      <c r="F12" s="23"/>
      <c r="G12" s="19"/>
      <c r="H12" s="19"/>
      <c r="I12" s="20"/>
    </row>
    <row r="13" spans="1:14" x14ac:dyDescent="0.25">
      <c r="A13" s="30" t="s">
        <v>71</v>
      </c>
      <c r="B13" s="31" t="s">
        <v>78</v>
      </c>
      <c r="C13" s="31" t="s">
        <v>73</v>
      </c>
      <c r="D13" s="20"/>
      <c r="E13" s="18"/>
      <c r="F13" s="23"/>
      <c r="G13" s="19"/>
      <c r="H13" s="19"/>
      <c r="I13" s="20"/>
    </row>
    <row r="14" spans="1:14" ht="30" x14ac:dyDescent="0.25">
      <c r="A14" s="30" t="s">
        <v>72</v>
      </c>
      <c r="B14" s="32">
        <v>4.7697559682462816E-2</v>
      </c>
      <c r="C14" s="32">
        <v>0.51236608581686272</v>
      </c>
      <c r="D14" s="20"/>
      <c r="E14" s="18"/>
      <c r="F14" s="23"/>
      <c r="G14" s="19"/>
      <c r="H14" s="19"/>
      <c r="I14" s="20"/>
    </row>
    <row r="15" spans="1:14" x14ac:dyDescent="0.25">
      <c r="A15" s="23"/>
      <c r="B15" s="19"/>
      <c r="C15" s="19"/>
      <c r="D15" s="20"/>
      <c r="E15" s="18"/>
      <c r="F15" s="23"/>
      <c r="G15" s="19"/>
      <c r="H15" s="19"/>
      <c r="I15" s="20"/>
    </row>
    <row r="16" spans="1:14" ht="15" customHeight="1" x14ac:dyDescent="0.25">
      <c r="A16" s="35" t="s">
        <v>74</v>
      </c>
      <c r="B16" s="35"/>
      <c r="C16" s="35"/>
      <c r="D16" s="35"/>
      <c r="E16" s="35"/>
      <c r="F16" s="35"/>
      <c r="G16" s="35"/>
      <c r="H16" s="19"/>
      <c r="I16" s="20"/>
    </row>
    <row r="17" spans="1:12" ht="15" customHeight="1" x14ac:dyDescent="0.25">
      <c r="A17" s="23"/>
      <c r="B17" s="19"/>
      <c r="C17" s="19"/>
      <c r="D17" s="20"/>
      <c r="E17" s="18"/>
      <c r="F17" s="23"/>
      <c r="G17" s="19"/>
      <c r="H17" s="19"/>
      <c r="I17" s="20"/>
    </row>
    <row r="18" spans="1:12" x14ac:dyDescent="0.25">
      <c r="A18" s="23"/>
      <c r="B18" s="19"/>
      <c r="C18" s="19"/>
      <c r="D18" s="20"/>
      <c r="E18" s="18"/>
      <c r="F18" s="23"/>
      <c r="G18" s="19"/>
      <c r="H18" s="19"/>
      <c r="I18" s="20"/>
    </row>
    <row r="20" spans="1:12" ht="21" x14ac:dyDescent="0.25">
      <c r="A20" s="26" t="s">
        <v>54</v>
      </c>
      <c r="B20" s="26"/>
    </row>
    <row r="21" spans="1:12" ht="15" customHeight="1" x14ac:dyDescent="0.25">
      <c r="A21" s="28"/>
      <c r="B21" s="28"/>
    </row>
    <row r="22" spans="1:12" x14ac:dyDescent="0.25">
      <c r="A22" s="15" t="s">
        <v>48</v>
      </c>
      <c r="B22" s="15"/>
      <c r="C22" s="15"/>
      <c r="D22" s="15"/>
      <c r="F22" s="15" t="s">
        <v>52</v>
      </c>
      <c r="G22" s="15"/>
      <c r="H22" s="15"/>
      <c r="I22" s="15"/>
    </row>
    <row r="23" spans="1:12" x14ac:dyDescent="0.25">
      <c r="A23" s="15" t="s">
        <v>55</v>
      </c>
      <c r="B23" s="15"/>
      <c r="C23" s="15"/>
      <c r="D23" s="15"/>
      <c r="F23" s="16"/>
      <c r="G23" s="15" t="s">
        <v>55</v>
      </c>
      <c r="H23" s="15"/>
      <c r="I23" s="15"/>
      <c r="J23" s="15"/>
    </row>
    <row r="24" spans="1:12" x14ac:dyDescent="0.25">
      <c r="A24" s="27" t="s">
        <v>59</v>
      </c>
      <c r="B24" s="27"/>
      <c r="C24" s="17" t="s">
        <v>61</v>
      </c>
      <c r="D24" s="17"/>
      <c r="F24" s="16"/>
      <c r="G24" s="27" t="s">
        <v>60</v>
      </c>
      <c r="H24" s="27"/>
      <c r="I24" s="17" t="s">
        <v>61</v>
      </c>
      <c r="J24" s="17"/>
    </row>
    <row r="25" spans="1:12" x14ac:dyDescent="0.25">
      <c r="A25" s="27" t="s">
        <v>56</v>
      </c>
      <c r="B25" s="27"/>
      <c r="C25" s="5">
        <v>1.9842694460193821E-11</v>
      </c>
      <c r="D25" s="17" t="s">
        <v>87</v>
      </c>
      <c r="F25" s="16"/>
      <c r="G25" s="27" t="s">
        <v>56</v>
      </c>
      <c r="H25" s="27"/>
      <c r="I25" s="5">
        <v>1.632402950078424E-25</v>
      </c>
      <c r="J25" s="17" t="s">
        <v>87</v>
      </c>
    </row>
    <row r="26" spans="1:12" x14ac:dyDescent="0.25">
      <c r="A26" s="27" t="s">
        <v>57</v>
      </c>
      <c r="B26" s="27"/>
      <c r="C26" s="5">
        <v>8.2127810312886597E-14</v>
      </c>
      <c r="D26" s="17" t="s">
        <v>87</v>
      </c>
      <c r="F26" s="16"/>
      <c r="G26" s="27" t="s">
        <v>57</v>
      </c>
      <c r="H26" s="27"/>
      <c r="I26" s="5">
        <v>4.1518662560453566E-28</v>
      </c>
      <c r="J26" s="17" t="s">
        <v>87</v>
      </c>
    </row>
    <row r="27" spans="1:12" x14ac:dyDescent="0.25">
      <c r="A27" s="27" t="s">
        <v>58</v>
      </c>
      <c r="B27" s="27"/>
      <c r="C27" s="5">
        <v>2.9403465268515381E-19</v>
      </c>
      <c r="D27" s="17" t="s">
        <v>87</v>
      </c>
      <c r="G27" s="27" t="s">
        <v>58</v>
      </c>
      <c r="H27" s="27"/>
      <c r="I27" s="5">
        <v>1.2640657221857818E-31</v>
      </c>
      <c r="J27" s="17" t="s">
        <v>87</v>
      </c>
    </row>
    <row r="28" spans="1:12" x14ac:dyDescent="0.25">
      <c r="A28" s="27"/>
      <c r="B28" s="27"/>
      <c r="G28" s="27"/>
      <c r="H28" s="27"/>
    </row>
    <row r="29" spans="1:12" x14ac:dyDescent="0.25">
      <c r="A29" s="29" t="s">
        <v>62</v>
      </c>
      <c r="B29" s="29"/>
      <c r="C29" s="29"/>
    </row>
    <row r="30" spans="1:12" x14ac:dyDescent="0.25">
      <c r="A30" s="29" t="s">
        <v>63</v>
      </c>
      <c r="B30" s="29"/>
      <c r="C30" s="29"/>
      <c r="D30" s="29"/>
      <c r="E30" s="29"/>
      <c r="F30" s="29"/>
      <c r="G30" s="29"/>
      <c r="H30" s="29"/>
      <c r="I30" s="29"/>
      <c r="J30" s="29"/>
      <c r="K30" s="29"/>
      <c r="L30" s="29"/>
    </row>
    <row r="33" spans="1:14" ht="21" x14ac:dyDescent="0.25">
      <c r="A33" s="26" t="s">
        <v>64</v>
      </c>
      <c r="B33" s="26"/>
    </row>
    <row r="35" spans="1:14" x14ac:dyDescent="0.25">
      <c r="A35" s="15" t="s">
        <v>48</v>
      </c>
      <c r="B35" s="15"/>
      <c r="C35" s="15"/>
      <c r="D35" s="15"/>
      <c r="K35" s="15" t="s">
        <v>52</v>
      </c>
      <c r="L35" s="15"/>
      <c r="M35" s="15"/>
      <c r="N35" s="15"/>
    </row>
    <row r="36" spans="1:14" x14ac:dyDescent="0.25">
      <c r="A36" s="15" t="s">
        <v>65</v>
      </c>
      <c r="B36" s="15"/>
      <c r="C36" s="15"/>
      <c r="D36" s="15"/>
      <c r="K36" s="15" t="s">
        <v>66</v>
      </c>
      <c r="L36" s="15"/>
      <c r="M36" s="15"/>
      <c r="N36" s="15"/>
    </row>
    <row r="55" spans="1:14" x14ac:dyDescent="0.25">
      <c r="A55" s="15" t="s">
        <v>67</v>
      </c>
      <c r="B55" s="15"/>
      <c r="C55" s="15"/>
      <c r="D55" s="15"/>
      <c r="K55" s="15" t="s">
        <v>68</v>
      </c>
      <c r="L55" s="15"/>
      <c r="M55" s="15"/>
      <c r="N55" s="15"/>
    </row>
    <row r="57" spans="1:14" x14ac:dyDescent="0.25">
      <c r="A57" s="23" t="s">
        <v>50</v>
      </c>
      <c r="B57" s="23" t="s">
        <v>43</v>
      </c>
      <c r="C57" s="23"/>
      <c r="L57" s="23" t="s">
        <v>49</v>
      </c>
      <c r="M57" s="23" t="s">
        <v>43</v>
      </c>
    </row>
    <row r="58" spans="1:14" x14ac:dyDescent="0.25">
      <c r="A58" s="23" t="s">
        <v>44</v>
      </c>
      <c r="B58" s="20">
        <v>0</v>
      </c>
      <c r="C58" s="18"/>
      <c r="L58" s="23" t="s">
        <v>44</v>
      </c>
      <c r="M58" s="20">
        <v>0</v>
      </c>
    </row>
    <row r="59" spans="1:14" x14ac:dyDescent="0.25">
      <c r="A59" s="23" t="s">
        <v>45</v>
      </c>
      <c r="B59" s="20">
        <v>1.0196052631578938</v>
      </c>
      <c r="C59" s="18"/>
      <c r="L59" s="23" t="s">
        <v>45</v>
      </c>
      <c r="M59" s="20">
        <v>4.7791228070175418</v>
      </c>
    </row>
    <row r="60" spans="1:14" x14ac:dyDescent="0.25">
      <c r="A60" s="23" t="s">
        <v>46</v>
      </c>
      <c r="B60" s="20">
        <v>1.4867105263157894</v>
      </c>
      <c r="C60" s="18"/>
      <c r="L60" s="23" t="s">
        <v>46</v>
      </c>
      <c r="M60" s="20">
        <v>12.235043859649128</v>
      </c>
    </row>
    <row r="61" spans="1:14" x14ac:dyDescent="0.25">
      <c r="A61" s="23" t="s">
        <v>47</v>
      </c>
      <c r="B61" s="20">
        <v>2.4724999999999997</v>
      </c>
      <c r="C61" s="18"/>
      <c r="L61" s="23" t="s">
        <v>47</v>
      </c>
      <c r="M61" s="20">
        <v>20.629561403508774</v>
      </c>
    </row>
  </sheetData>
  <mergeCells count="29">
    <mergeCell ref="A55:D55"/>
    <mergeCell ref="K55:N55"/>
    <mergeCell ref="A11:B11"/>
    <mergeCell ref="A16:G16"/>
    <mergeCell ref="A29:C29"/>
    <mergeCell ref="A30:L30"/>
    <mergeCell ref="A33:B33"/>
    <mergeCell ref="A35:D35"/>
    <mergeCell ref="A36:D36"/>
    <mergeCell ref="K35:N35"/>
    <mergeCell ref="K36:N36"/>
    <mergeCell ref="G24:H24"/>
    <mergeCell ref="G25:H25"/>
    <mergeCell ref="G26:H26"/>
    <mergeCell ref="A27:B27"/>
    <mergeCell ref="G27:H27"/>
    <mergeCell ref="A28:B28"/>
    <mergeCell ref="G28:H28"/>
    <mergeCell ref="A23:D23"/>
    <mergeCell ref="A22:D22"/>
    <mergeCell ref="F22:I22"/>
    <mergeCell ref="G23:J23"/>
    <mergeCell ref="A3:D3"/>
    <mergeCell ref="F3:I3"/>
    <mergeCell ref="A1:B1"/>
    <mergeCell ref="A20:B20"/>
    <mergeCell ref="A24:B24"/>
    <mergeCell ref="A25:B25"/>
    <mergeCell ref="A26:B26"/>
  </mergeCells>
  <pageMargins left="0.7" right="0.7" top="0.75" bottom="0.75" header="0.3" footer="0.3"/>
  <drawing r:id="rId1"/>
  <tableParts count="5">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workbookViewId="0">
      <selection activeCell="F51" sqref="F51"/>
    </sheetView>
  </sheetViews>
  <sheetFormatPr defaultRowHeight="15" x14ac:dyDescent="0.25"/>
  <cols>
    <col min="1" max="1" width="12.85546875" customWidth="1"/>
    <col min="2" max="2" width="14.7109375" customWidth="1"/>
    <col min="4" max="4" width="10.7109375" customWidth="1"/>
    <col min="6" max="6" width="11.5703125" customWidth="1"/>
    <col min="8" max="8" width="11.140625" customWidth="1"/>
    <col min="9" max="9" width="11.28515625" customWidth="1"/>
  </cols>
  <sheetData>
    <row r="1" spans="1:9" ht="21" customHeight="1" x14ac:dyDescent="0.25">
      <c r="A1" s="36" t="s">
        <v>53</v>
      </c>
      <c r="B1" s="36"/>
    </row>
    <row r="3" spans="1:9" x14ac:dyDescent="0.25">
      <c r="A3" s="15" t="s">
        <v>48</v>
      </c>
      <c r="B3" s="15"/>
      <c r="C3" s="15"/>
      <c r="D3" s="15"/>
      <c r="E3" s="14"/>
      <c r="F3" s="15" t="s">
        <v>52</v>
      </c>
      <c r="G3" s="15"/>
      <c r="H3" s="15"/>
      <c r="I3" s="15"/>
    </row>
    <row r="4" spans="1:9" x14ac:dyDescent="0.25">
      <c r="A4" s="23" t="s">
        <v>50</v>
      </c>
      <c r="B4" s="23" t="s">
        <v>42</v>
      </c>
      <c r="C4" s="23" t="s">
        <v>51</v>
      </c>
      <c r="D4" s="23" t="s">
        <v>43</v>
      </c>
      <c r="E4" s="23"/>
      <c r="F4" s="23" t="s">
        <v>49</v>
      </c>
      <c r="G4" s="23" t="s">
        <v>42</v>
      </c>
      <c r="H4" s="23" t="s">
        <v>51</v>
      </c>
      <c r="I4" s="23" t="s">
        <v>43</v>
      </c>
    </row>
    <row r="5" spans="1:9" x14ac:dyDescent="0.25">
      <c r="A5" s="23" t="s">
        <v>44</v>
      </c>
      <c r="B5" s="19">
        <v>52.880263157894738</v>
      </c>
      <c r="C5" s="19">
        <v>29.324372901849848</v>
      </c>
      <c r="D5" s="20">
        <v>0</v>
      </c>
      <c r="E5" s="18"/>
      <c r="F5" s="23" t="s">
        <v>44</v>
      </c>
      <c r="G5" s="19">
        <v>41.121315789473698</v>
      </c>
      <c r="H5" s="19">
        <v>26.919818342024833</v>
      </c>
      <c r="I5" s="20">
        <v>0</v>
      </c>
    </row>
    <row r="6" spans="1:9" x14ac:dyDescent="0.25">
      <c r="A6" s="23" t="s">
        <v>45</v>
      </c>
      <c r="B6" s="19">
        <v>53.899868421052624</v>
      </c>
      <c r="C6" s="19">
        <v>27.671289847083923</v>
      </c>
      <c r="D6" s="20">
        <v>1.0196052631578938</v>
      </c>
      <c r="E6" s="18"/>
      <c r="F6" s="23" t="s">
        <v>45</v>
      </c>
      <c r="G6" s="19">
        <v>45.900438596491242</v>
      </c>
      <c r="H6" s="19">
        <v>25.78985715978952</v>
      </c>
      <c r="I6" s="20">
        <v>4.7791228070175418</v>
      </c>
    </row>
    <row r="7" spans="1:9" x14ac:dyDescent="0.25">
      <c r="A7" s="23" t="s">
        <v>46</v>
      </c>
      <c r="B7" s="19">
        <v>54.366973684210528</v>
      </c>
      <c r="C7" s="19">
        <v>28.878660188477955</v>
      </c>
      <c r="D7" s="20">
        <v>1.4867105263157894</v>
      </c>
      <c r="E7" s="18"/>
      <c r="F7" s="23" t="s">
        <v>46</v>
      </c>
      <c r="G7" s="19">
        <v>53.356359649122801</v>
      </c>
      <c r="H7" s="19">
        <v>24.281371750039522</v>
      </c>
      <c r="I7" s="20">
        <v>12.235043859649128</v>
      </c>
    </row>
    <row r="8" spans="1:9" x14ac:dyDescent="0.25">
      <c r="A8" s="23" t="s">
        <v>47</v>
      </c>
      <c r="B8" s="19">
        <v>55.352763157894742</v>
      </c>
      <c r="C8" s="19">
        <v>27.870891482930297</v>
      </c>
      <c r="D8" s="20">
        <v>2.4724999999999997</v>
      </c>
      <c r="E8" s="18"/>
      <c r="F8" s="23" t="s">
        <v>47</v>
      </c>
      <c r="G8" s="19">
        <v>61.750877192982465</v>
      </c>
      <c r="H8" s="19">
        <v>28.995179389916242</v>
      </c>
      <c r="I8" s="20">
        <v>20.629561403508774</v>
      </c>
    </row>
    <row r="10" spans="1:9" ht="17.25" x14ac:dyDescent="0.25">
      <c r="A10" s="37" t="s">
        <v>70</v>
      </c>
      <c r="B10" s="37"/>
    </row>
    <row r="11" spans="1:9" ht="17.25" x14ac:dyDescent="0.25">
      <c r="A11" s="39"/>
    </row>
    <row r="12" spans="1:9" ht="30" x14ac:dyDescent="0.25">
      <c r="A12" s="40" t="s">
        <v>78</v>
      </c>
      <c r="B12" s="33">
        <v>4.7697559682462816E-2</v>
      </c>
    </row>
    <row r="13" spans="1:9" ht="30" x14ac:dyDescent="0.25">
      <c r="A13" s="40" t="s">
        <v>73</v>
      </c>
      <c r="B13" s="34">
        <v>0.51236608581686272</v>
      </c>
    </row>
    <row r="15" spans="1:9" ht="42" customHeight="1" x14ac:dyDescent="0.25">
      <c r="A15" s="35" t="s">
        <v>74</v>
      </c>
      <c r="B15" s="35"/>
      <c r="C15" s="35"/>
      <c r="D15" s="35"/>
      <c r="E15" s="35"/>
      <c r="F15" s="35"/>
      <c r="G15" s="35"/>
    </row>
    <row r="16" spans="1:9" ht="19.5" customHeight="1" x14ac:dyDescent="0.25"/>
    <row r="17" spans="1:12" ht="17.25" x14ac:dyDescent="0.25">
      <c r="A17" s="37" t="s">
        <v>54</v>
      </c>
      <c r="B17" s="37"/>
    </row>
    <row r="19" spans="1:12" ht="39" customHeight="1" x14ac:dyDescent="0.25">
      <c r="A19" s="38" t="s">
        <v>63</v>
      </c>
      <c r="B19" s="38"/>
      <c r="C19" s="38"/>
      <c r="D19" s="38"/>
      <c r="E19" s="38"/>
      <c r="F19" s="38"/>
      <c r="G19" s="38"/>
      <c r="H19" s="38"/>
      <c r="I19" s="38"/>
      <c r="J19" s="38"/>
      <c r="K19" s="38"/>
      <c r="L19" s="38"/>
    </row>
    <row r="23" spans="1:12" ht="17.25" x14ac:dyDescent="0.25">
      <c r="A23" s="42" t="s">
        <v>28</v>
      </c>
    </row>
    <row r="24" spans="1:12" x14ac:dyDescent="0.25">
      <c r="A24" s="41"/>
    </row>
    <row r="25" spans="1:12" x14ac:dyDescent="0.25">
      <c r="A25" s="41" t="s">
        <v>79</v>
      </c>
    </row>
    <row r="26" spans="1:12" x14ac:dyDescent="0.25">
      <c r="A26" s="41" t="s">
        <v>80</v>
      </c>
    </row>
    <row r="27" spans="1:12" x14ac:dyDescent="0.25">
      <c r="A27" s="41" t="s">
        <v>81</v>
      </c>
    </row>
    <row r="28" spans="1:12" x14ac:dyDescent="0.25">
      <c r="A28" s="41" t="s">
        <v>76</v>
      </c>
    </row>
    <row r="29" spans="1:12" x14ac:dyDescent="0.25">
      <c r="A29" s="41" t="s">
        <v>77</v>
      </c>
    </row>
    <row r="32" spans="1:12" ht="17.25" x14ac:dyDescent="0.25">
      <c r="A32" s="42" t="s">
        <v>82</v>
      </c>
    </row>
    <row r="34" spans="1:15" x14ac:dyDescent="0.25">
      <c r="A34" t="s">
        <v>83</v>
      </c>
    </row>
    <row r="36" spans="1:15" x14ac:dyDescent="0.25">
      <c r="A36" t="s">
        <v>84</v>
      </c>
    </row>
    <row r="39" spans="1:15" ht="17.25" x14ac:dyDescent="0.25">
      <c r="A39" s="42" t="s">
        <v>85</v>
      </c>
    </row>
    <row r="41" spans="1:15" ht="19.5" x14ac:dyDescent="0.3">
      <c r="A41" s="43" t="s">
        <v>86</v>
      </c>
      <c r="B41" s="43"/>
      <c r="C41" s="43"/>
      <c r="D41" s="43"/>
      <c r="E41" s="43"/>
      <c r="F41" s="43"/>
      <c r="G41" s="43"/>
      <c r="H41" s="43"/>
      <c r="I41" s="43"/>
      <c r="J41" s="43"/>
      <c r="K41" s="43"/>
      <c r="L41" s="43"/>
      <c r="M41" s="43"/>
      <c r="N41" s="43"/>
      <c r="O41" s="43"/>
    </row>
  </sheetData>
  <mergeCells count="8">
    <mergeCell ref="A19:L19"/>
    <mergeCell ref="A41:O41"/>
    <mergeCell ref="A1:B1"/>
    <mergeCell ref="A3:D3"/>
    <mergeCell ref="F3:I3"/>
    <mergeCell ref="A10:B10"/>
    <mergeCell ref="A15:G15"/>
    <mergeCell ref="A17:B17"/>
  </mergeCells>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details </vt:lpstr>
      <vt:lpstr>Spectrometer left </vt:lpstr>
      <vt:lpstr>Spectrometer right </vt:lpstr>
      <vt:lpstr>Spectrometer average </vt:lpstr>
      <vt:lpstr>Corneometer </vt:lpstr>
      <vt:lpstr>Outputs</vt:lpstr>
      <vt:lpstr>RESULT (CONCLUSION)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2026-04-10T17:40:54Z</dcterms:created>
  <dcterms:modified xsi:type="dcterms:W3CDTF">2026-04-11T04:47:51Z</dcterms:modified>
</cp:coreProperties>
</file>